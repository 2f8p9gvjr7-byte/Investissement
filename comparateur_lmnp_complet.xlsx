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ètres" sheetId="1" state="visible" r:id="rId3"/>
    <sheet name="Amortissement crédit" sheetId="2" state="visible" r:id="rId4"/>
    <sheet name="Location nue" sheetId="3" state="visible" r:id="rId5"/>
    <sheet name="LMNP Micro-BIC" sheetId="4" state="visible" r:id="rId6"/>
    <sheet name="LMNP Réel" sheetId="5" state="visible" r:id="rId7"/>
    <sheet name="PV LMNP Réel" sheetId="6" state="visible" r:id="rId8"/>
    <sheet name="Comparatif" sheetId="7" state="visible" r:id="rId9"/>
    <sheet name="Nue Micro-fonci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<sst xmlns="http://schemas.openxmlformats.org/spreadsheetml/2006/main" count="214" uniqueCount="144">
  <si>
    <t xml:space="preserve">PARAMÈTRES DE SIMULATION</t>
  </si>
  <si>
    <t xml:space="preserve">Cellules jaunes = à saisir  |  Vert = calculé automatiquement  |  Modifiez uniquement les jaunes</t>
  </si>
  <si>
    <t xml:space="preserve">BIEN IMMOBILIER</t>
  </si>
  <si>
    <t xml:space="preserve">Prix d'acquisition (€)</t>
  </si>
  <si>
    <t xml:space="preserve">Quote-part terrain non amortissable (%)</t>
  </si>
  <si>
    <t xml:space="preserve">Frais de notaire (%)</t>
  </si>
  <si>
    <t xml:space="preserve">Travaux immobiliers (€)</t>
  </si>
  <si>
    <t xml:space="preserve">Mobilier / équipements (€)</t>
  </si>
  <si>
    <t xml:space="preserve">Apport personnel (€)</t>
  </si>
  <si>
    <t xml:space="preserve">Progression valeur/an (%)</t>
  </si>
  <si>
    <t xml:space="preserve">Durée d'analyse (ans, max 20)</t>
  </si>
  <si>
    <t xml:space="preserve">CALCULS BIEN</t>
  </si>
  <si>
    <t xml:space="preserve">Valeur amortissable bien (€)</t>
  </si>
  <si>
    <t xml:space="preserve">Frais notaire (€)</t>
  </si>
  <si>
    <t xml:space="preserve">Montant emprunté (€)</t>
  </si>
  <si>
    <t xml:space="preserve">Valeur bien à l'échéance (€)</t>
  </si>
  <si>
    <t xml:space="preserve">CRÉDIT</t>
  </si>
  <si>
    <t xml:space="preserve">Taux crédit (%)</t>
  </si>
  <si>
    <t xml:space="preserve">Durée crédit (ans)</t>
  </si>
  <si>
    <t xml:space="preserve">Mensualité (€)</t>
  </si>
  <si>
    <t xml:space="preserve">Annuité crédit (€)</t>
  </si>
  <si>
    <t xml:space="preserve">REVENUS LOCATIFS</t>
  </si>
  <si>
    <t xml:space="preserve">Loyer mensuel HC (€)</t>
  </si>
  <si>
    <t xml:space="preserve">Croissance loyer/an (%)</t>
  </si>
  <si>
    <t xml:space="preserve">Taux de vacance (%)</t>
  </si>
  <si>
    <t xml:space="preserve">CHARGES ANNUELLES</t>
  </si>
  <si>
    <t xml:space="preserve">Entretien / réparations (€)</t>
  </si>
  <si>
    <t xml:space="preserve">Taxe foncière (€)</t>
  </si>
  <si>
    <t xml:space="preserve">Assurance PNO (€)</t>
  </si>
  <si>
    <t xml:space="preserve">Frais comptable LMNP (€)</t>
  </si>
  <si>
    <t xml:space="preserve">CFE — LMNP uniquement (€)</t>
  </si>
  <si>
    <t xml:space="preserve">Croissance charges/an (%)</t>
  </si>
  <si>
    <t xml:space="preserve">AMORTISSEMENTS — LMNP RÉEL UNIQUEMENT</t>
  </si>
  <si>
    <t xml:space="preserve">Durée amort. bien (ans)</t>
  </si>
  <si>
    <t xml:space="preserve">Durée amort. travaux (ans)</t>
  </si>
  <si>
    <t xml:space="preserve">Durée amort. mobilier (ans)</t>
  </si>
  <si>
    <t xml:space="preserve">Amort. bien/an (€)</t>
  </si>
  <si>
    <t xml:space="preserve">Amort. travaux/an (€)</t>
  </si>
  <si>
    <t xml:space="preserve">Amort. mobilier/an (€)</t>
  </si>
  <si>
    <t xml:space="preserve">Total amortissements/an (€)</t>
  </si>
  <si>
    <t xml:space="preserve">FISCALITÉ</t>
  </si>
  <si>
    <t xml:space="preserve">Loc. nue</t>
  </si>
  <si>
    <t xml:space="preserve">LMNP Micro-BIC</t>
  </si>
  <si>
    <t xml:space="preserve">LMNP Réel</t>
  </si>
  <si>
    <t xml:space="preserve">Taux marginal IR — loyers (%)</t>
  </si>
  <si>
    <t xml:space="preserve">Prélèvements sociaux (%) — 17,2% foncier/PV, 18,6% BIC meublé (LFSS 2026)</t>
  </si>
  <si>
    <t xml:space="preserve">PLACEMENT ALTERNATIF</t>
  </si>
  <si>
    <t xml:space="preserve">Rendement annuel (%)</t>
  </si>
  <si>
    <t xml:space="preserve">Valeur future (€)</t>
  </si>
  <si>
    <t xml:space="preserve">FISCALITÉ DE SORTIE — PLUS-VALUE IMMOBILIÈRE</t>
  </si>
  <si>
    <t xml:space="preserve">Taux IR plus-value (%)</t>
  </si>
  <si>
    <t xml:space="preserve">Taux prélèvements sociaux plus-value (%)</t>
  </si>
  <si>
    <t xml:space="preserve">Forfait frais d'acquisition (%)</t>
  </si>
  <si>
    <t xml:space="preserve">Forfait travaux (%, si détention &gt; 5 ans)</t>
  </si>
  <si>
    <t xml:space="preserve">Abattement IR /an, 6e à 21e année (%)</t>
  </si>
  <si>
    <t xml:space="preserve">Abattement PS /an, 6e à 21e année (%)</t>
  </si>
  <si>
    <t xml:space="preserve">Abattement PS, 22e année (%)</t>
  </si>
  <si>
    <t xml:space="preserve">Abattement PS /an, 23e à 30e année (%)</t>
  </si>
  <si>
    <t xml:space="preserve">Frais acquisition retenus (€)</t>
  </si>
  <si>
    <t xml:space="preserve">Travaux retenus (€)</t>
  </si>
  <si>
    <t xml:space="preserve">Plus-value brute estimée (€)</t>
  </si>
  <si>
    <t xml:space="preserve">Abattement IR pour durée de détention (%)</t>
  </si>
  <si>
    <t xml:space="preserve">Abattement PS pour durée de détention (%)</t>
  </si>
  <si>
    <t xml:space="preserve">Impôt IR sur plus-value (€)</t>
  </si>
  <si>
    <t xml:space="preserve">Prélèvements sociaux sur plus-value (€)</t>
  </si>
  <si>
    <t xml:space="preserve">Total impôt sur plus-value à la revente (€)</t>
  </si>
  <si>
    <t xml:space="preserve">CROISSANCE DÉDIÉE CFE / COMPTABLE</t>
  </si>
  <si>
    <t xml:space="preserve">Croissance CFE/an (%)</t>
  </si>
  <si>
    <t xml:space="preserve">Croissance frais comptable/an (%)</t>
  </si>
  <si>
    <t xml:space="preserve">DÉFICIT FONCIER — LOCATION NUE RÉEL UNIQUEMENT</t>
  </si>
  <si>
    <t xml:space="preserve">Plafond imputation annuelle sur revenu global (€)</t>
  </si>
  <si>
    <t xml:space="preserve">Foyer dispose de revenus suffisants pour imputer (1=oui, 0=non)</t>
  </si>
  <si>
    <t xml:space="preserve">TABLEAU D'AMORTISSEMENT MENSUEL</t>
  </si>
  <si>
    <t xml:space="preserve">INTÉRÊTS PAR ANNÉE</t>
  </si>
  <si>
    <t xml:space="preserve">Capital restant/an →</t>
  </si>
  <si>
    <t xml:space="preserve">Mois</t>
  </si>
  <si>
    <t xml:space="preserve">An</t>
  </si>
  <si>
    <t xml:space="preserve">Capital début</t>
  </si>
  <si>
    <t xml:space="preserve">Intérêts</t>
  </si>
  <si>
    <t xml:space="preserve">Capital remb.</t>
  </si>
  <si>
    <t xml:space="preserve">Capital restant</t>
  </si>
  <si>
    <t xml:space="preserve">Année</t>
  </si>
  <si>
    <t xml:space="preserve">Intérêts annuels (€)</t>
  </si>
  <si>
    <t xml:space="preserve">Capital restant fin an</t>
  </si>
  <si>
    <t xml:space="preserve">LOCATION NUE — DÉTAIL ANNUEL</t>
  </si>
  <si>
    <t xml:space="preserve">Loyer brut</t>
  </si>
  <si>
    <t xml:space="preserve">Vacance</t>
  </si>
  <si>
    <t xml:space="preserve">Loyer net</t>
  </si>
  <si>
    <t xml:space="preserve">Charges déd.</t>
  </si>
  <si>
    <t xml:space="preserve">Rev. imposable</t>
  </si>
  <si>
    <t xml:space="preserve">Impôt</t>
  </si>
  <si>
    <t xml:space="preserve">Cash-flow</t>
  </si>
  <si>
    <t xml:space="preserve">Flux TRI</t>
  </si>
  <si>
    <t xml:space="preserve">Stock déficit début</t>
  </si>
  <si>
    <t xml:space="preserve">Stock déficit fin</t>
  </si>
  <si>
    <t xml:space="preserve">Résultat avant report</t>
  </si>
  <si>
    <t xml:space="preserve">Déficit total</t>
  </si>
  <si>
    <t xml:space="preserve">Dont intérêts (non imputable global)</t>
  </si>
  <si>
    <t xml:space="preserve">Dont autres charges</t>
  </si>
  <si>
    <t xml:space="preserve">Imputé sur revenu global</t>
  </si>
  <si>
    <t xml:space="preserve">Nouveau report</t>
  </si>
  <si>
    <t xml:space="preserve">0</t>
  </si>
  <si>
    <t xml:space="preserve">RÉSUMÉ &amp; RENDEMENTS</t>
  </si>
  <si>
    <t xml:space="preserve">Cash-flow cumulé hors revente (mise comprise) (€)</t>
  </si>
  <si>
    <t xml:space="preserve">Impôt cumulé sur loyers (€)</t>
  </si>
  <si>
    <t xml:space="preserve">Valeur du bien à l'échéance (€)</t>
  </si>
  <si>
    <t xml:space="preserve">Capital restant dû à l'échéance (€)</t>
  </si>
  <si>
    <t xml:space="preserve">Patrimoine net estimé (€)</t>
  </si>
  <si>
    <t xml:space="preserve">★ TRI annuel (%)</t>
  </si>
  <si>
    <t xml:space="preserve">Multiple sur mise (x)</t>
  </si>
  <si>
    <t xml:space="preserve">★ Valeur future placement alternatif (€)</t>
  </si>
  <si>
    <t xml:space="preserve">★ Écart vs placement alternatif (€)</t>
  </si>
  <si>
    <t xml:space="preserve">Charges déductibles location nue : entretien + taxe foncière + assurance PNO + intérêts d'emprunt. PAS de CFE, PAS de frais comptable, PAS d'amortissement du bien.</t>
  </si>
  <si>
    <t xml:space="preserve">LMNP MICRO-BIC — DÉTAIL ANNUEL</t>
  </si>
  <si>
    <t xml:space="preserve">Charges réelles</t>
  </si>
  <si>
    <t xml:space="preserve">Rev. imp. (50%)</t>
  </si>
  <si>
    <t xml:space="preserve">Micro-BIC : abattement forfaitaire 50% sur loyers. Charges col. E = réellement payées mais NON déductibles (incluses dans l'abattement forfaitaire). CFE et frais comptable inclus.</t>
  </si>
  <si>
    <t xml:space="preserve">LMNP RÉEL — DÉTAIL ANNUEL</t>
  </si>
  <si>
    <t xml:space="preserve">Amort. total</t>
  </si>
  <si>
    <t xml:space="preserve">Bénéfice imp.</t>
  </si>
  <si>
    <t xml:space="preserve">⚠️  Impôt PV à la sortie (amort. réintégrés — voir feuille 'PV LMNP Réel')</t>
  </si>
  <si>
    <t xml:space="preserve">Bénéfice imposable = MAX(loyers - charges - intérêts - amortissements, 0). Le déficit éventuel est reportable sur les bénéfices des 10 années suivantes (non modélisé ici). Impôt PV majoré des amortissements à la sortie (voir feuille dédiée).</t>
  </si>
  <si>
    <t xml:space="preserve">PLUS-VALUE À LA SORTIE — LMNP RÉEL (réforme février 2025)</t>
  </si>
  <si>
    <t xml:space="preserve">Prix de vente estimé (€)</t>
  </si>
  <si>
    <t xml:space="preserve">Amortissements cumulés réintégrés — bâti UNIQUEMENT, travaux et mobilier exclus (LF2025 art.84) (€)</t>
  </si>
  <si>
    <t xml:space="preserve">Prix d'acquisition fiscal réduit (frais/travaux retenus - amortissements réintégrés) (€)</t>
  </si>
  <si>
    <t xml:space="preserve">Plus-value brute fiscale (€)</t>
  </si>
  <si>
    <t xml:space="preserve">★ Impôt PV (19% IR + 17,2% PS, abattements durée) (€)</t>
  </si>
  <si>
    <t xml:space="preserve">⚠️  La réintégration des amortissements dans la PV s'applique depuis le 15/02/2025. Les abattements pour durée de détention (IR: 6%/an dès la 6e année; PS: 1,65%/an) s'appliquent sur la PV totale mais ne réduisent pas la part liée aux amortissements selon certaines interprétations. Consultez un notaire ou CGP pour votre situation.</t>
  </si>
  <si>
    <t xml:space="preserve">COMPARATIF — 4 RÉGIMES + PLACEMENT FINANCIER</t>
  </si>
  <si>
    <t xml:space="preserve">Location nue</t>
  </si>
  <si>
    <t xml:space="preserve">Placement financier</t>
  </si>
  <si>
    <t xml:space="preserve">Nue Micro-foncier</t>
  </si>
  <si>
    <t xml:space="preserve">★ Multiple sur mise (x)</t>
  </si>
  <si>
    <t xml:space="preserve">Cash-flow cumulé hors revente (€)</t>
  </si>
  <si>
    <t xml:space="preserve">—</t>
  </si>
  <si>
    <t xml:space="preserve">Capital restant dû (€)</t>
  </si>
  <si>
    <t xml:space="preserve">★ Patrimoine net estimé (€)</t>
  </si>
  <si>
    <t xml:space="preserve">Impôt PV LMNP Réel réintégré (€)</t>
  </si>
  <si>
    <t xml:space="preserve">★ Écart vs placement financier (€)</t>
  </si>
  <si>
    <t xml:space="preserve">0 €</t>
  </si>
  <si>
    <t xml:space="preserve">⚠️  LMNP Réel : l'impôt sur la plus-value est majoré des amortissements cumulés (réforme 15/02/2025). Bien que l'impôt annuel soit faible ou nul, la fiscalité de sortie peut être significativement plus élevée qu'en location nue. Comparez le patrimoine NET après tous impôts.
★ Lignes colorées = indicateurs clés à comparer. Modifiez les paramètres dans la feuille 'Paramètres'.</t>
  </si>
  <si>
    <t xml:space="preserve">LOCATION NUE — MICRO-FONCIER — DÉTAIL ANNUEL</t>
  </si>
  <si>
    <t xml:space="preserve">Rev. imp. (30%)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</si>
</sst>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"/>
    <numFmt numFmtId="166" formatCode="0.0%"/>
    <numFmt numFmtId="167" formatCode="0"/>
    <numFmt numFmtId="168" formatCode="0.00%"/>
    <numFmt numFmtId="169" formatCode="#,##0.00&quot; €&quot;"/>
    <numFmt numFmtId="170" formatCode="0.00\x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55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5500"/>
      <name val="Arial"/>
      <family val="2"/>
      <charset val="1"/>
    </font>
    <font>
      <b val="true"/>
      <sz val="10"/>
      <color rgb="FF1A56A0"/>
      <name val="Arial"/>
      <family val="2"/>
      <charset val="1"/>
    </font>
    <font>
      <b val="true"/>
      <sz val="10"/>
      <color rgb="FF1E7E34"/>
      <name val="Arial"/>
      <family val="2"/>
      <charset val="1"/>
    </font>
    <font>
      <b val="true"/>
      <sz val="10"/>
      <color rgb="FFCC4400"/>
      <name val="Arial"/>
      <family val="2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5500"/>
      <name val="Cambria"/>
      <family val="0"/>
      <charset val="1"/>
    </font>
    <font>
      <b val="true"/>
      <sz val="10"/>
      <color rgb="FFFFFFFF"/>
      <name val="Arial"/>
      <family val="2"/>
      <charset val="1"/>
    </font>
    <font>
      <i val="true"/>
      <sz val="8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9"/>
      <color rgb="FF005500"/>
      <name val="Arial"/>
      <family val="2"/>
      <charset val="1"/>
    </font>
    <font>
      <sz val="9"/>
      <color rgb="FF0055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C0000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1"/>
      <color rgb="FFCC4400"/>
      <name val="Arial"/>
      <family val="2"/>
      <charset val="1"/>
    </font>
    <font>
      <i val="true"/>
      <sz val="9"/>
      <color rgb="FFCC440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EFF"/>
      </patternFill>
    </fill>
    <fill>
      <patternFill patternType="solid">
        <fgColor rgb="FFFFFF00"/>
        <bgColor rgb="FFFFFF00"/>
      </patternFill>
    </fill>
    <fill>
      <patternFill patternType="solid">
        <fgColor rgb="FFEEF2FF"/>
        <bgColor rgb="FFF5F5F5"/>
      </patternFill>
    </fill>
    <fill>
      <patternFill patternType="solid">
        <fgColor rgb="FFFF8C00"/>
        <bgColor rgb="FFFF8080"/>
      </patternFill>
    </fill>
    <fill>
      <patternFill patternType="solid">
        <fgColor rgb="FFFFE8D0"/>
        <bgColor rgb="FFFFF2CC"/>
      </patternFill>
    </fill>
    <fill>
      <patternFill patternType="solid">
        <fgColor rgb="FFFFF8E7"/>
        <bgColor rgb="FFF8F8F8"/>
      </patternFill>
    </fill>
    <fill>
      <patternFill patternType="solid">
        <fgColor rgb="FF1A56A0"/>
        <bgColor rgb="FF333399"/>
      </patternFill>
    </fill>
    <fill>
      <patternFill patternType="solid">
        <fgColor rgb="FFDDEEFF"/>
        <bgColor rgb="FFEEF2FF"/>
      </patternFill>
    </fill>
    <fill>
      <patternFill patternType="solid">
        <fgColor rgb="FFF8F8FF"/>
        <bgColor rgb="FFF8F8F8"/>
      </patternFill>
    </fill>
    <fill>
      <patternFill patternType="solid">
        <fgColor rgb="FFF8F8F8"/>
        <bgColor rgb="FFF8F8FF"/>
      </patternFill>
    </fill>
    <fill>
      <patternFill patternType="solid">
        <fgColor rgb="FFF5F5F5"/>
        <bgColor rgb="FFF8F8F8"/>
      </patternFill>
    </fill>
    <fill>
      <patternFill patternType="solid">
        <fgColor rgb="FFFFF2CC"/>
        <bgColor rgb="FFFFE8D0"/>
      </patternFill>
    </fill>
    <fill>
      <patternFill patternType="solid">
        <fgColor rgb="FF1E7E34"/>
        <bgColor rgb="FF339966"/>
      </patternFill>
    </fill>
    <fill>
      <patternFill patternType="solid">
        <fgColor rgb="FFDDFFDD"/>
        <bgColor rgb="FFF5F5F5"/>
      </patternFill>
    </fill>
    <fill>
      <patternFill patternType="solid">
        <fgColor rgb="FFCC4400"/>
        <bgColor rgb="FF8B4513"/>
      </patternFill>
    </fill>
    <fill>
      <patternFill patternType="solid">
        <fgColor rgb="FF8B4513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2CC"/>
      <rgbColor rgb="FFDDEEFF"/>
      <rgbColor rgb="FF660066"/>
      <rgbColor rgb="FFFF8080"/>
      <rgbColor rgb="FF1A56A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DFFDD"/>
      <rgbColor rgb="FFFFE8D0"/>
      <rgbColor rgb="FFF8F8FF"/>
      <rgbColor rgb="FFF8F8F8"/>
      <rgbColor rgb="FFCC99FF"/>
      <rgbColor rgb="FFFFF8E7"/>
      <rgbColor rgb="FF3366FF"/>
      <rgbColor rgb="FF33CCCC"/>
      <rgbColor rgb="FF99CC00"/>
      <rgbColor rgb="FFFFCC00"/>
      <rgbColor rgb="FFFF8C00"/>
      <rgbColor rgb="FFCC4400"/>
      <rgbColor rgb="FF595959"/>
      <rgbColor rgb="FF969696"/>
      <rgbColor rgb="FF1F3864"/>
      <rgbColor rgb="FF339966"/>
      <rgbColor rgb="FF0055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33" activeCellId="0" sqref="B3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n">
        <v>200000</v>
      </c>
    </row>
    <row r="6" customFormat="false" ht="15" hidden="false" customHeight="true" outlineLevel="0" collapsed="false">
      <c r="A6" s="5" t="s">
        <v>4</v>
      </c>
      <c r="B6" s="7" t="n">
        <v>0.15</v>
      </c>
    </row>
    <row r="7" customFormat="false" ht="15" hidden="false" customHeight="true" outlineLevel="0" collapsed="false">
      <c r="A7" s="5" t="s">
        <v>5</v>
      </c>
      <c r="B7" s="7" t="n">
        <v>0.08</v>
      </c>
    </row>
    <row r="8" customFormat="false" ht="15" hidden="false" customHeight="true" outlineLevel="0" collapsed="false">
      <c r="A8" s="5" t="s">
        <v>6</v>
      </c>
      <c r="B8" s="6" t="n">
        <v>5000</v>
      </c>
    </row>
    <row r="9" customFormat="false" ht="15" hidden="false" customHeight="true" outlineLevel="0" collapsed="false">
      <c r="A9" s="5" t="s">
        <v>7</v>
      </c>
      <c r="B9" s="6" t="n">
        <v>5000</v>
      </c>
    </row>
    <row r="10" customFormat="false" ht="15" hidden="false" customHeight="true" outlineLevel="0" collapsed="false">
      <c r="A10" s="5" t="s">
        <v>8</v>
      </c>
      <c r="B10" s="6" t="n">
        <v>40000</v>
      </c>
    </row>
    <row r="11" customFormat="false" ht="15" hidden="false" customHeight="true" outlineLevel="0" collapsed="false">
      <c r="A11" s="5" t="s">
        <v>9</v>
      </c>
      <c r="B11" s="7" t="n">
        <v>0.015</v>
      </c>
    </row>
    <row r="12" customFormat="false" ht="15" hidden="false" customHeight="true" outlineLevel="0" collapsed="false">
      <c r="A12" s="5" t="s">
        <v>10</v>
      </c>
      <c r="B12" s="8" t="n">
        <v>15</v>
      </c>
    </row>
    <row r="14" customFormat="false" ht="15" hidden="false" customHeight="true" outlineLevel="0" collapsed="false">
      <c r="A14" s="9" t="s">
        <v>11</v>
      </c>
      <c r="B14" s="9"/>
      <c r="C14" s="9"/>
      <c r="D14" s="9"/>
    </row>
    <row r="15" customFormat="false" ht="15" hidden="false" customHeight="true" outlineLevel="0" collapsed="false">
      <c r="A15" s="5" t="s">
        <v>12</v>
      </c>
      <c r="B15" s="10" t="n">
        <f aca="false">B5*(1-B6)</f>
        <v>170000</v>
      </c>
    </row>
    <row r="16" customFormat="false" ht="15" hidden="false" customHeight="true" outlineLevel="0" collapsed="false">
      <c r="A16" s="5" t="s">
        <v>13</v>
      </c>
      <c r="B16" s="10" t="n">
        <f aca="false">B5*B7</f>
        <v>16000</v>
      </c>
    </row>
    <row r="17" customFormat="false" ht="15" hidden="false" customHeight="true" outlineLevel="0" collapsed="false">
      <c r="A17" s="5" t="s">
        <v>14</v>
      </c>
      <c r="B17" s="10" t="n">
        <f aca="false">B5+B5*B7+B8-B10</f>
        <v>181000</v>
      </c>
    </row>
    <row r="18" customFormat="false" ht="15" hidden="false" customHeight="true" outlineLevel="0" collapsed="false">
      <c r="A18" s="5" t="s">
        <v>15</v>
      </c>
      <c r="B18" s="10" t="n">
        <f aca="false">(B5+B8)*(1+B11)^B12</f>
        <v>256297.573664145</v>
      </c>
    </row>
    <row r="20" customFormat="false" ht="15" hidden="false" customHeight="true" outlineLevel="0" collapsed="false">
      <c r="A20" s="4" t="s">
        <v>16</v>
      </c>
      <c r="B20" s="4"/>
      <c r="C20" s="4"/>
      <c r="D20" s="4"/>
    </row>
    <row r="21" customFormat="false" ht="15" hidden="false" customHeight="true" outlineLevel="0" collapsed="false">
      <c r="A21" s="5" t="s">
        <v>17</v>
      </c>
      <c r="B21" s="7" t="n">
        <v>0.035</v>
      </c>
    </row>
    <row r="22" customFormat="false" ht="15" hidden="false" customHeight="true" outlineLevel="0" collapsed="false">
      <c r="A22" s="5" t="s">
        <v>18</v>
      </c>
      <c r="B22" s="8" t="n">
        <v>20</v>
      </c>
    </row>
    <row r="23" customFormat="false" ht="15" hidden="false" customHeight="true" outlineLevel="0" collapsed="false">
      <c r="A23" s="5" t="s">
        <v>19</v>
      </c>
      <c r="B23" s="10" t="n">
        <f aca="false">IFERROR(B17*(B21/12)/(1-(1+B21/12)^(-B22*12)),0)</f>
        <v>1049.7270895494</v>
      </c>
    </row>
    <row r="24" customFormat="false" ht="15" hidden="false" customHeight="true" outlineLevel="0" collapsed="false">
      <c r="A24" s="5" t="s">
        <v>20</v>
      </c>
      <c r="B24" s="10" t="n">
        <f aca="false">B23*12</f>
        <v>12596.7250745928</v>
      </c>
    </row>
    <row r="26" customFormat="false" ht="15" hidden="false" customHeight="true" outlineLevel="0" collapsed="false">
      <c r="A26" s="4" t="s">
        <v>21</v>
      </c>
      <c r="B26" s="4"/>
      <c r="C26" s="4"/>
      <c r="D26" s="4"/>
    </row>
    <row r="27" customFormat="false" ht="15" hidden="false" customHeight="true" outlineLevel="0" collapsed="false">
      <c r="A27" s="5" t="s">
        <v>22</v>
      </c>
      <c r="B27" s="6" t="n">
        <v>800</v>
      </c>
    </row>
    <row r="28" customFormat="false" ht="15" hidden="false" customHeight="true" outlineLevel="0" collapsed="false">
      <c r="A28" s="5" t="s">
        <v>23</v>
      </c>
      <c r="B28" s="7" t="n">
        <v>0.015</v>
      </c>
    </row>
    <row r="29" customFormat="false" ht="15" hidden="false" customHeight="true" outlineLevel="0" collapsed="false">
      <c r="A29" s="5" t="s">
        <v>24</v>
      </c>
      <c r="B29" s="7" t="n">
        <v>0.0833333333333333</v>
      </c>
    </row>
    <row r="31" customFormat="false" ht="15" hidden="false" customHeight="true" outlineLevel="0" collapsed="false">
      <c r="A31" s="4" t="s">
        <v>25</v>
      </c>
      <c r="B31" s="4"/>
      <c r="C31" s="4"/>
      <c r="D31" s="4"/>
    </row>
    <row r="32" customFormat="false" ht="15" hidden="false" customHeight="true" outlineLevel="0" collapsed="false">
      <c r="A32" s="5" t="s">
        <v>26</v>
      </c>
      <c r="B32" s="6" t="n">
        <v>1200</v>
      </c>
    </row>
    <row r="33" customFormat="false" ht="15" hidden="false" customHeight="true" outlineLevel="0" collapsed="false">
      <c r="A33" s="5" t="s">
        <v>27</v>
      </c>
      <c r="B33" s="6" t="n">
        <v>900</v>
      </c>
    </row>
    <row r="34" customFormat="false" ht="15" hidden="false" customHeight="true" outlineLevel="0" collapsed="false">
      <c r="A34" s="5" t="s">
        <v>28</v>
      </c>
      <c r="B34" s="6" t="n">
        <v>150</v>
      </c>
    </row>
    <row r="35" customFormat="false" ht="15" hidden="false" customHeight="true" outlineLevel="0" collapsed="false">
      <c r="A35" s="5" t="s">
        <v>29</v>
      </c>
      <c r="B35" s="6" t="n">
        <v>400</v>
      </c>
    </row>
    <row r="36" customFormat="false" ht="15" hidden="false" customHeight="true" outlineLevel="0" collapsed="false">
      <c r="A36" s="5" t="s">
        <v>30</v>
      </c>
      <c r="B36" s="6" t="n">
        <v>200</v>
      </c>
    </row>
    <row r="37" customFormat="false" ht="15" hidden="false" customHeight="true" outlineLevel="0" collapsed="false">
      <c r="A37" s="5" t="s">
        <v>31</v>
      </c>
      <c r="B37" s="7" t="n">
        <v>0.02</v>
      </c>
    </row>
    <row r="39" customFormat="false" ht="15" hidden="false" customHeight="true" outlineLevel="0" collapsed="false">
      <c r="A39" s="11" t="s">
        <v>32</v>
      </c>
      <c r="B39" s="11"/>
      <c r="C39" s="11"/>
      <c r="D39" s="11"/>
    </row>
    <row r="40" customFormat="false" ht="15" hidden="false" customHeight="true" outlineLevel="0" collapsed="false">
      <c r="A40" s="5" t="s">
        <v>33</v>
      </c>
      <c r="B40" s="8" t="n">
        <v>30</v>
      </c>
    </row>
    <row r="41" customFormat="false" ht="15" hidden="false" customHeight="true" outlineLevel="0" collapsed="false">
      <c r="A41" s="5" t="s">
        <v>34</v>
      </c>
      <c r="B41" s="8" t="n">
        <v>12</v>
      </c>
    </row>
    <row r="42" customFormat="false" ht="15" hidden="false" customHeight="true" outlineLevel="0" collapsed="false">
      <c r="A42" s="5" t="s">
        <v>35</v>
      </c>
      <c r="B42" s="8" t="n">
        <v>7</v>
      </c>
    </row>
    <row r="43" customFormat="false" ht="15" hidden="false" customHeight="true" outlineLevel="0" collapsed="false">
      <c r="A43" s="5" t="s">
        <v>36</v>
      </c>
      <c r="B43" s="10" t="n">
        <f aca="false">B15/B40</f>
        <v>5666.66666666667</v>
      </c>
    </row>
    <row r="44" customFormat="false" ht="15" hidden="false" customHeight="true" outlineLevel="0" collapsed="false">
      <c r="A44" s="5" t="s">
        <v>37</v>
      </c>
      <c r="B44" s="10" t="n">
        <f aca="false">B8/B41</f>
        <v>416.666666666667</v>
      </c>
    </row>
    <row r="45" customFormat="false" ht="15" hidden="false" customHeight="true" outlineLevel="0" collapsed="false">
      <c r="A45" s="5" t="s">
        <v>38</v>
      </c>
      <c r="B45" s="10" t="n">
        <f aca="false">B9/B42</f>
        <v>714.285714285714</v>
      </c>
    </row>
    <row r="46" customFormat="false" ht="15" hidden="false" customHeight="true" outlineLevel="0" collapsed="false">
      <c r="A46" s="12" t="s">
        <v>39</v>
      </c>
      <c r="B46" s="13" t="n">
        <f aca="false">B43+B44+B45</f>
        <v>6797.61904761905</v>
      </c>
    </row>
    <row r="48" customFormat="false" ht="15" hidden="false" customHeight="true" outlineLevel="0" collapsed="false">
      <c r="A48" s="4" t="s">
        <v>40</v>
      </c>
      <c r="B48" s="4"/>
      <c r="C48" s="4"/>
      <c r="D48" s="4"/>
    </row>
    <row r="49" customFormat="false" ht="15" hidden="false" customHeight="true" outlineLevel="0" collapsed="false">
      <c r="B49" s="14" t="s">
        <v>41</v>
      </c>
      <c r="C49" s="15" t="s">
        <v>42</v>
      </c>
      <c r="D49" s="16" t="s">
        <v>43</v>
      </c>
    </row>
    <row r="50" customFormat="false" ht="15" hidden="false" customHeight="true" outlineLevel="0" collapsed="false">
      <c r="A50" s="5" t="s">
        <v>44</v>
      </c>
      <c r="B50" s="7" t="n">
        <v>0.3</v>
      </c>
      <c r="C50" s="7" t="n">
        <v>0.3</v>
      </c>
      <c r="D50" s="7" t="n">
        <v>0.3</v>
      </c>
    </row>
    <row r="51" customFormat="false" ht="15" hidden="false" customHeight="true" outlineLevel="0" collapsed="false">
      <c r="A51" s="5" t="s">
        <v>45</v>
      </c>
      <c r="B51" s="7" t="n">
        <v>0.172</v>
      </c>
      <c r="C51" s="7" t="n">
        <v>0.186</v>
      </c>
      <c r="D51" s="7" t="n">
        <v>0.186</v>
      </c>
    </row>
    <row r="54" customFormat="false" ht="15" hidden="false" customHeight="true" outlineLevel="0" collapsed="false">
      <c r="A54" s="17" t="s">
        <v>46</v>
      </c>
      <c r="B54" s="17"/>
      <c r="C54" s="17"/>
      <c r="D54" s="17"/>
    </row>
    <row r="55" customFormat="false" ht="15" hidden="false" customHeight="true" outlineLevel="0" collapsed="false">
      <c r="A55" s="5" t="s">
        <v>47</v>
      </c>
      <c r="B55" s="7" t="n">
        <v>0.06</v>
      </c>
    </row>
    <row r="56" customFormat="false" ht="15" hidden="false" customHeight="true" outlineLevel="0" collapsed="false">
      <c r="A56" s="5" t="s">
        <v>48</v>
      </c>
      <c r="B56" s="18" t="n">
        <f aca="false">B10*(1+B55)^B12</f>
        <v>95862.3277239877</v>
      </c>
    </row>
    <row r="58" customFormat="false" ht="14.25" hidden="false" customHeight="true" outlineLevel="0" collapsed="false">
      <c r="A58" s="19" t="s">
        <v>49</v>
      </c>
      <c r="B58" s="20"/>
    </row>
    <row r="59" customFormat="false" ht="14.25" hidden="false" customHeight="true" outlineLevel="0" collapsed="false">
      <c r="A59" s="1" t="s">
        <v>50</v>
      </c>
      <c r="B59" s="21" t="n">
        <v>0.19</v>
      </c>
    </row>
    <row r="60" customFormat="false" ht="14.25" hidden="false" customHeight="true" outlineLevel="0" collapsed="false">
      <c r="A60" s="1" t="s">
        <v>51</v>
      </c>
      <c r="B60" s="21" t="n">
        <v>0.172</v>
      </c>
    </row>
    <row r="61" customFormat="false" ht="14.25" hidden="false" customHeight="true" outlineLevel="0" collapsed="false">
      <c r="A61" s="1" t="s">
        <v>52</v>
      </c>
      <c r="B61" s="21" t="n">
        <v>0.075</v>
      </c>
    </row>
    <row r="62" customFormat="false" ht="14.25" hidden="false" customHeight="true" outlineLevel="0" collapsed="false">
      <c r="A62" s="1" t="s">
        <v>53</v>
      </c>
      <c r="B62" s="21" t="n">
        <v>0.15</v>
      </c>
    </row>
    <row r="63" customFormat="false" ht="14.25" hidden="false" customHeight="true" outlineLevel="0" collapsed="false">
      <c r="A63" s="1" t="s">
        <v>54</v>
      </c>
      <c r="B63" s="21" t="n">
        <v>0.06</v>
      </c>
    </row>
    <row r="64" customFormat="false" ht="14.25" hidden="false" customHeight="true" outlineLevel="0" collapsed="false">
      <c r="A64" s="1" t="s">
        <v>55</v>
      </c>
      <c r="B64" s="22" t="n">
        <v>0.0165</v>
      </c>
    </row>
    <row r="65" customFormat="false" ht="14.25" hidden="false" customHeight="true" outlineLevel="0" collapsed="false">
      <c r="A65" s="1" t="s">
        <v>56</v>
      </c>
      <c r="B65" s="22" t="n">
        <v>0.016</v>
      </c>
    </row>
    <row r="66" customFormat="false" ht="14.25" hidden="false" customHeight="true" outlineLevel="0" collapsed="false">
      <c r="A66" s="1" t="s">
        <v>57</v>
      </c>
      <c r="B66" s="21" t="n">
        <v>0.09</v>
      </c>
    </row>
    <row r="68" customFormat="false" ht="14.25" hidden="false" customHeight="true" outlineLevel="0" collapsed="false">
      <c r="A68" s="1" t="s">
        <v>58</v>
      </c>
      <c r="B68" s="23" t="n">
        <f aca="false">MAX(B16,B61*B5)</f>
        <v>16000</v>
      </c>
    </row>
    <row r="69" customFormat="false" ht="14.25" hidden="false" customHeight="true" outlineLevel="0" collapsed="false">
      <c r="A69" s="1" t="s">
        <v>59</v>
      </c>
      <c r="B69" s="23" t="n">
        <f aca="false">IF(B12&gt;5,MAX(B8,B62*B5),B8)</f>
        <v>30000</v>
      </c>
    </row>
    <row r="70" customFormat="false" ht="14.25" hidden="false" customHeight="true" outlineLevel="0" collapsed="false">
      <c r="A70" s="1" t="s">
        <v>60</v>
      </c>
      <c r="B70" s="23" t="n">
        <f aca="false">MAX(B18-(B5+B68+B69),0)</f>
        <v>10297.5736641454</v>
      </c>
    </row>
    <row r="71" customFormat="false" ht="14.25" hidden="false" customHeight="true" outlineLevel="0" collapsed="false">
      <c r="A71" s="1" t="s">
        <v>61</v>
      </c>
      <c r="B71" s="24" t="n">
        <f aca="false">MIN(1,MAX(0,B12-5)*B63)</f>
        <v>0.6</v>
      </c>
    </row>
    <row r="72" customFormat="false" ht="14.25" hidden="false" customHeight="true" outlineLevel="0" collapsed="false">
      <c r="A72" s="1" t="s">
        <v>62</v>
      </c>
      <c r="B72" s="24" t="n">
        <f aca="false">MIN(1,IF(B12&lt;=5,0,IF(B12&lt;=21,(B12-5)*B64,IF(B12&lt;=22,16*B64+B65,16*B64+B65+(B12-22)*B66))))</f>
        <v>0.165</v>
      </c>
    </row>
    <row r="73" customFormat="false" ht="14.25" hidden="false" customHeight="true" outlineLevel="0" collapsed="false">
      <c r="A73" s="1" t="s">
        <v>63</v>
      </c>
      <c r="B73" s="23" t="n">
        <f aca="false">B70*(1-B71)*B59</f>
        <v>782.61559847505</v>
      </c>
    </row>
    <row r="74" customFormat="false" ht="14.25" hidden="false" customHeight="true" outlineLevel="0" collapsed="false">
      <c r="A74" s="1" t="s">
        <v>64</v>
      </c>
      <c r="B74" s="23" t="n">
        <f aca="false">B70*(1-B72)*B60</f>
        <v>1478.93752964456</v>
      </c>
    </row>
    <row r="75" customFormat="false" ht="14.25" hidden="false" customHeight="true" outlineLevel="0" collapsed="false">
      <c r="A75" s="1" t="s">
        <v>65</v>
      </c>
      <c r="B75" s="23" t="n">
        <f aca="false">B73+B74</f>
        <v>2261.55312811961</v>
      </c>
    </row>
    <row r="77" customFormat="false" ht="14.25" hidden="false" customHeight="true" outlineLevel="0" collapsed="false">
      <c r="A77" s="1" t="s">
        <v>66</v>
      </c>
    </row>
    <row r="78" customFormat="false" ht="14.25" hidden="false" customHeight="true" outlineLevel="0" collapsed="false">
      <c r="A78" s="1" t="s">
        <v>67</v>
      </c>
      <c r="B78" s="1" t="n">
        <v>0.02</v>
      </c>
    </row>
    <row r="79" customFormat="false" ht="14.25" hidden="false" customHeight="true" outlineLevel="0" collapsed="false">
      <c r="A79" s="1" t="s">
        <v>68</v>
      </c>
      <c r="B79" s="1" t="n">
        <v>0.02</v>
      </c>
    </row>
    <row r="80" customFormat="false" ht="14.25" hidden="false" customHeight="true" outlineLevel="0" collapsed="false">
      <c r="A80" s="1" t="s">
        <v>69</v>
      </c>
    </row>
    <row r="81" customFormat="false" ht="14.25" hidden="false" customHeight="true" outlineLevel="0" collapsed="false">
      <c r="A81" s="1" t="s">
        <v>70</v>
      </c>
      <c r="B81" s="1" t="n">
        <v>10700</v>
      </c>
    </row>
    <row r="82" customFormat="false" ht="14.25" hidden="false" customHeight="true" outlineLevel="0" collapsed="false">
      <c r="A82" s="1" t="s">
        <v>71</v>
      </c>
      <c r="B82" s="1" t="n">
        <v>1</v>
      </c>
    </row>
  </sheetData>
  <mergeCells count="10">
    <mergeCell ref="A1:D1"/>
    <mergeCell ref="A2:D2"/>
    <mergeCell ref="A4:D4"/>
    <mergeCell ref="A14:D14"/>
    <mergeCell ref="A20:D20"/>
    <mergeCell ref="A26:D26"/>
    <mergeCell ref="A31:D31"/>
    <mergeCell ref="A39:D39"/>
    <mergeCell ref="A48:D48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14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8" min="8" style="1" width="8"/>
    <col collapsed="false" customWidth="true" hidden="false" outlineLevel="0" max="10" min="9" style="1" width="18"/>
  </cols>
  <sheetData>
    <row r="1" customFormat="false" ht="19.5" hidden="false" customHeight="true" outlineLevel="0" collapsed="false">
      <c r="A1" s="25" t="s">
        <v>72</v>
      </c>
      <c r="B1" s="25"/>
      <c r="C1" s="25"/>
      <c r="D1" s="25"/>
      <c r="E1" s="25"/>
      <c r="F1" s="25"/>
      <c r="H1" s="26" t="s">
        <v>73</v>
      </c>
      <c r="I1" s="26"/>
    </row>
    <row r="2" customFormat="false" ht="15" hidden="false" customHeight="true" outlineLevel="0" collapsed="false">
      <c r="H2" s="27" t="s">
        <v>74</v>
      </c>
      <c r="I2" s="27"/>
    </row>
    <row r="3" customFormat="false" ht="18" hidden="false" customHeight="true" outlineLevel="0" collapsed="false">
      <c r="A3" s="28" t="s">
        <v>75</v>
      </c>
      <c r="B3" s="28" t="s">
        <v>76</v>
      </c>
      <c r="C3" s="28" t="s">
        <v>77</v>
      </c>
      <c r="D3" s="28" t="s">
        <v>78</v>
      </c>
      <c r="E3" s="28" t="s">
        <v>79</v>
      </c>
      <c r="F3" s="28" t="s">
        <v>80</v>
      </c>
      <c r="H3" s="29" t="s">
        <v>81</v>
      </c>
      <c r="I3" s="29" t="s">
        <v>82</v>
      </c>
      <c r="J3" s="29" t="s">
        <v>83</v>
      </c>
    </row>
    <row r="4" customFormat="false" ht="15" hidden="false" customHeight="true" outlineLevel="0" collapsed="false">
      <c r="A4" s="1" t="n">
        <v>0</v>
      </c>
      <c r="C4" s="30" t="n">
        <f aca="false">Paramètres!B17</f>
        <v>181000</v>
      </c>
      <c r="F4" s="30" t="n">
        <f aca="false">Paramètres!B17</f>
        <v>181000</v>
      </c>
      <c r="H4" s="31" t="n">
        <v>1</v>
      </c>
      <c r="I4" s="32" t="n">
        <f aca="false">SUMIF(B5:B244,1,D5:D244)</f>
        <v>6233.56847206007</v>
      </c>
      <c r="J4" s="32" t="n">
        <f aca="false">INDEX(F5:F244,1*12)</f>
        <v>174636.843397467</v>
      </c>
    </row>
    <row r="5" customFormat="false" ht="15" hidden="false" customHeight="true" outlineLevel="0" collapsed="false">
      <c r="A5" s="33" t="n">
        <v>1</v>
      </c>
      <c r="B5" s="33" t="n">
        <v>1</v>
      </c>
      <c r="C5" s="10" t="n">
        <f aca="false">F4</f>
        <v>181000</v>
      </c>
      <c r="D5" s="34" t="n">
        <f aca="false">IF(C5&gt;0,C5*Paramètres!B21/12,0)</f>
        <v>527.916666666667</v>
      </c>
      <c r="E5" s="34" t="n">
        <f aca="false">IF(C5&gt;0,MIN(Paramètres!B23-D5,C5),0)</f>
        <v>521.810422882729</v>
      </c>
      <c r="F5" s="10" t="n">
        <f aca="false">MAX(C5-E5,0)</f>
        <v>180478.189577117</v>
      </c>
      <c r="H5" s="31" t="n">
        <v>2</v>
      </c>
      <c r="I5" s="32" t="n">
        <f aca="false">SUMIF(B5:B244,2,D5:D244)</f>
        <v>6007.25038058995</v>
      </c>
      <c r="J5" s="32" t="n">
        <f aca="false">INDEX(F5:F244,2*12)</f>
        <v>168047.368703465</v>
      </c>
    </row>
    <row r="6" customFormat="false" ht="15" hidden="false" customHeight="true" outlineLevel="0" collapsed="false">
      <c r="A6" s="33" t="n">
        <v>2</v>
      </c>
      <c r="B6" s="33" t="n">
        <v>1</v>
      </c>
      <c r="C6" s="10" t="n">
        <f aca="false">F5</f>
        <v>180478.189577117</v>
      </c>
      <c r="D6" s="34" t="n">
        <f aca="false">IF(C6&gt;0,C6*Paramètres!B21/12,0)</f>
        <v>526.394719599926</v>
      </c>
      <c r="E6" s="34" t="n">
        <f aca="false">IF(C6&gt;0,MIN(Paramètres!B23-D6,C6),0)</f>
        <v>523.332369949471</v>
      </c>
      <c r="F6" s="10" t="n">
        <f aca="false">MAX(C6-E6,0)</f>
        <v>179954.857207168</v>
      </c>
      <c r="H6" s="31" t="n">
        <v>3</v>
      </c>
      <c r="I6" s="32" t="n">
        <f aca="false">SUMIF(B5:B244,3,D5:D244)</f>
        <v>5772.88284420969</v>
      </c>
      <c r="J6" s="32" t="n">
        <f aca="false">INDEX(F5:F244,3*12)</f>
        <v>161223.526473081</v>
      </c>
    </row>
    <row r="7" customFormat="false" ht="15" hidden="false" customHeight="true" outlineLevel="0" collapsed="false">
      <c r="A7" s="33" t="n">
        <v>3</v>
      </c>
      <c r="B7" s="33" t="n">
        <v>1</v>
      </c>
      <c r="C7" s="10" t="n">
        <f aca="false">F6</f>
        <v>179954.857207168</v>
      </c>
      <c r="D7" s="34" t="n">
        <f aca="false">IF(C7&gt;0,C7*Paramètres!B21/12,0)</f>
        <v>524.868333520906</v>
      </c>
      <c r="E7" s="34" t="n">
        <f aca="false">IF(C7&gt;0,MIN(Paramètres!B23-D7,C7),0)</f>
        <v>524.85875602849</v>
      </c>
      <c r="F7" s="10" t="n">
        <f aca="false">MAX(C7-E7,0)</f>
        <v>179429.998451139</v>
      </c>
      <c r="H7" s="31" t="n">
        <v>4</v>
      </c>
      <c r="I7" s="32" t="n">
        <f aca="false">SUMIF(B5:B244,4,D5:D244)</f>
        <v>5530.17956869093</v>
      </c>
      <c r="J7" s="32" t="n">
        <f aca="false">INDEX(F5:F244,4*12)</f>
        <v>154156.98096718</v>
      </c>
    </row>
    <row r="8" customFormat="false" ht="15" hidden="false" customHeight="true" outlineLevel="0" collapsed="false">
      <c r="A8" s="33" t="n">
        <v>4</v>
      </c>
      <c r="B8" s="33" t="n">
        <v>1</v>
      </c>
      <c r="C8" s="10" t="n">
        <f aca="false">F7</f>
        <v>179429.998451139</v>
      </c>
      <c r="D8" s="34" t="n">
        <f aca="false">IF(C8&gt;0,C8*Paramètres!B21/12,0)</f>
        <v>523.33749548249</v>
      </c>
      <c r="E8" s="34" t="n">
        <f aca="false">IF(C8&gt;0,MIN(Paramètres!B23-D8,C8),0)</f>
        <v>526.389594066906</v>
      </c>
      <c r="F8" s="10" t="n">
        <f aca="false">MAX(C8-E8,0)</f>
        <v>178903.608857072</v>
      </c>
      <c r="H8" s="31" t="n">
        <v>5</v>
      </c>
      <c r="I8" s="32" t="n">
        <f aca="false">SUMIF(B5:B244,5,D5:D244)</f>
        <v>5278.84407719196</v>
      </c>
      <c r="J8" s="32" t="n">
        <f aca="false">INDEX(F5:F244,5*12)</f>
        <v>146839.099969779</v>
      </c>
    </row>
    <row r="9" customFormat="false" ht="15" hidden="false" customHeight="true" outlineLevel="0" collapsed="false">
      <c r="A9" s="33" t="n">
        <v>5</v>
      </c>
      <c r="B9" s="33" t="n">
        <v>1</v>
      </c>
      <c r="C9" s="10" t="n">
        <f aca="false">F8</f>
        <v>178903.608857072</v>
      </c>
      <c r="D9" s="34" t="n">
        <f aca="false">IF(C9&gt;0,C9*Paramètres!B21/12,0)</f>
        <v>521.802192499795</v>
      </c>
      <c r="E9" s="34" t="n">
        <f aca="false">IF(C9&gt;0,MIN(Paramètres!B23-D9,C9),0)</f>
        <v>527.924897049602</v>
      </c>
      <c r="F9" s="10" t="n">
        <f aca="false">MAX(C9-E9,0)</f>
        <v>178375.683960023</v>
      </c>
      <c r="H9" s="31" t="n">
        <v>6</v>
      </c>
      <c r="I9" s="32" t="n">
        <f aca="false">SUMIF(B5:B244,6,D5:D244)</f>
        <v>5018.56934809319</v>
      </c>
      <c r="J9" s="32" t="n">
        <f aca="false">INDEX(F5:F244,6*12)</f>
        <v>139260.944243279</v>
      </c>
    </row>
    <row r="10" customFormat="false" ht="15" hidden="false" customHeight="true" outlineLevel="0" collapsed="false">
      <c r="A10" s="33" t="n">
        <v>6</v>
      </c>
      <c r="B10" s="33" t="n">
        <v>1</v>
      </c>
      <c r="C10" s="10" t="n">
        <f aca="false">F9</f>
        <v>178375.683960023</v>
      </c>
      <c r="D10" s="34" t="n">
        <f aca="false">IF(C10&gt;0,C10*Paramètres!B21/12,0)</f>
        <v>520.262411550067</v>
      </c>
      <c r="E10" s="34" t="n">
        <f aca="false">IF(C10&gt;0,MIN(Paramètres!B23-D10,C10),0)</f>
        <v>529.46467799933</v>
      </c>
      <c r="F10" s="10" t="n">
        <f aca="false">MAX(C10-E10,0)</f>
        <v>177846.219282023</v>
      </c>
      <c r="H10" s="31" t="n">
        <v>7</v>
      </c>
      <c r="I10" s="32" t="n">
        <f aca="false">SUMIF(B5:B244,7,D5:D244)</f>
        <v>4749.03743995155</v>
      </c>
      <c r="J10" s="32" t="n">
        <f aca="false">INDEX(F5:F244,7*12)</f>
        <v>131413.256608638</v>
      </c>
    </row>
    <row r="11" customFormat="false" ht="15" hidden="false" customHeight="true" outlineLevel="0" collapsed="false">
      <c r="A11" s="33" t="n">
        <v>7</v>
      </c>
      <c r="B11" s="33" t="n">
        <v>1</v>
      </c>
      <c r="C11" s="10" t="n">
        <f aca="false">F10</f>
        <v>177846.219282023</v>
      </c>
      <c r="D11" s="34" t="n">
        <f aca="false">IF(C11&gt;0,C11*Paramètres!B21/12,0)</f>
        <v>518.718139572569</v>
      </c>
      <c r="E11" s="34" t="n">
        <f aca="false">IF(C11&gt;0,MIN(Paramètres!B23-D11,C11),0)</f>
        <v>531.008949976828</v>
      </c>
      <c r="F11" s="10" t="n">
        <f aca="false">MAX(C11-E11,0)</f>
        <v>177315.210332047</v>
      </c>
      <c r="H11" s="31" t="n">
        <v>8</v>
      </c>
      <c r="I11" s="32" t="n">
        <f aca="false">SUMIF(B5:B244,8,D5:D244)</f>
        <v>4469.91910311559</v>
      </c>
      <c r="J11" s="32" t="n">
        <f aca="false">INDEX(F5:F244,8*12)</f>
        <v>123286.450637161</v>
      </c>
    </row>
    <row r="12" customFormat="false" ht="15" hidden="false" customHeight="true" outlineLevel="0" collapsed="false">
      <c r="A12" s="33" t="n">
        <v>8</v>
      </c>
      <c r="B12" s="33" t="n">
        <v>1</v>
      </c>
      <c r="C12" s="10" t="n">
        <f aca="false">F11</f>
        <v>177315.210332047</v>
      </c>
      <c r="D12" s="34" t="n">
        <f aca="false">IF(C12&gt;0,C12*Paramètres!B21/12,0)</f>
        <v>517.169363468469</v>
      </c>
      <c r="E12" s="34" t="n">
        <f aca="false">IF(C12&gt;0,MIN(Paramètres!B23-D12,C12),0)</f>
        <v>532.557726080927</v>
      </c>
      <c r="F12" s="10" t="n">
        <f aca="false">MAX(C12-E12,0)</f>
        <v>176782.652605966</v>
      </c>
      <c r="H12" s="31" t="n">
        <v>9</v>
      </c>
      <c r="I12" s="32" t="n">
        <f aca="false">SUMIF(B5:B244,9,D5:D244)</f>
        <v>4180.87337752703</v>
      </c>
      <c r="J12" s="32" t="n">
        <f aca="false">INDEX(F5:F244,9*12)</f>
        <v>114870.598940095</v>
      </c>
    </row>
    <row r="13" customFormat="false" ht="15" hidden="false" customHeight="true" outlineLevel="0" collapsed="false">
      <c r="A13" s="33" t="n">
        <v>9</v>
      </c>
      <c r="B13" s="33" t="n">
        <v>1</v>
      </c>
      <c r="C13" s="10" t="n">
        <f aca="false">F12</f>
        <v>176782.652605966</v>
      </c>
      <c r="D13" s="34" t="n">
        <f aca="false">IF(C13&gt;0,C13*Paramètres!B21/12,0)</f>
        <v>515.616070100733</v>
      </c>
      <c r="E13" s="34" t="n">
        <f aca="false">IF(C13&gt;0,MIN(Paramètres!B23-D13,C13),0)</f>
        <v>534.111019448663</v>
      </c>
      <c r="F13" s="10" t="n">
        <f aca="false">MAX(C13-E13,0)</f>
        <v>176248.541586517</v>
      </c>
      <c r="H13" s="31" t="n">
        <v>10</v>
      </c>
      <c r="I13" s="32" t="n">
        <f aca="false">SUMIF(B5:B244,10,D5:D244)</f>
        <v>3881.54717621722</v>
      </c>
      <c r="J13" s="32" t="n">
        <f aca="false">INDEX(F5:F244,10*12)</f>
        <v>106155.42104172</v>
      </c>
    </row>
    <row r="14" customFormat="false" ht="15" hidden="false" customHeight="true" outlineLevel="0" collapsed="false">
      <c r="A14" s="33" t="n">
        <v>10</v>
      </c>
      <c r="B14" s="33" t="n">
        <v>1</v>
      </c>
      <c r="C14" s="10" t="n">
        <f aca="false">F13</f>
        <v>176248.541586517</v>
      </c>
      <c r="D14" s="34" t="n">
        <f aca="false">IF(C14&gt;0,C14*Paramètres!B21/12,0)</f>
        <v>514.058246294008</v>
      </c>
      <c r="E14" s="34" t="n">
        <f aca="false">IF(C14&gt;0,MIN(Paramètres!B23-D14,C14),0)</f>
        <v>535.668843255388</v>
      </c>
      <c r="F14" s="10" t="n">
        <f aca="false">MAX(C14-E14,0)</f>
        <v>175712.872743262</v>
      </c>
      <c r="H14" s="31" t="n">
        <v>11</v>
      </c>
      <c r="I14" s="32" t="n">
        <f aca="false">SUMIF(B5:B244,11,D5:D244)</f>
        <v>3571.57485398994</v>
      </c>
      <c r="J14" s="32" t="n">
        <f aca="false">INDEX(F5:F244,11*12)</f>
        <v>97130.2708211168</v>
      </c>
    </row>
    <row r="15" customFormat="false" ht="15" hidden="false" customHeight="true" outlineLevel="0" collapsed="false">
      <c r="A15" s="33" t="n">
        <v>11</v>
      </c>
      <c r="B15" s="33" t="n">
        <v>1</v>
      </c>
      <c r="C15" s="10" t="n">
        <f aca="false">F14</f>
        <v>175712.872743262</v>
      </c>
      <c r="D15" s="34" t="n">
        <f aca="false">IF(C15&gt;0,C15*Paramètres!B21/12,0)</f>
        <v>512.495878834513</v>
      </c>
      <c r="E15" s="34" t="n">
        <f aca="false">IF(C15&gt;0,MIN(Paramètres!B23-D15,C15),0)</f>
        <v>537.231210714883</v>
      </c>
      <c r="F15" s="10" t="n">
        <f aca="false">MAX(C15-E15,0)</f>
        <v>175175.641532547</v>
      </c>
      <c r="H15" s="31" t="n">
        <v>12</v>
      </c>
      <c r="I15" s="32" t="n">
        <f aca="false">SUMIF(B5:B244,12,D5:D244)</f>
        <v>3250.57776076344</v>
      </c>
      <c r="J15" s="32" t="n">
        <f aca="false">INDEX(F5:F244,12*12)</f>
        <v>87784.1235072875</v>
      </c>
    </row>
    <row r="16" customFormat="false" ht="15" hidden="false" customHeight="true" outlineLevel="0" collapsed="false">
      <c r="A16" s="33" t="n">
        <v>12</v>
      </c>
      <c r="B16" s="33" t="n">
        <v>1</v>
      </c>
      <c r="C16" s="10" t="n">
        <f aca="false">F15</f>
        <v>175175.641532547</v>
      </c>
      <c r="D16" s="34" t="n">
        <f aca="false">IF(C16&gt;0,C16*Paramètres!B21/12,0)</f>
        <v>510.928954469928</v>
      </c>
      <c r="E16" s="34" t="n">
        <f aca="false">IF(C16&gt;0,MIN(Paramètres!B23-D16,C16),0)</f>
        <v>538.798135079468</v>
      </c>
      <c r="F16" s="10" t="n">
        <f aca="false">MAX(C16-E16,0)</f>
        <v>174636.843397467</v>
      </c>
      <c r="H16" s="31" t="n">
        <v>13</v>
      </c>
      <c r="I16" s="32" t="n">
        <f aca="false">SUMIF(B5:B244,13,D5:D244)</f>
        <v>2918.16377902637</v>
      </c>
      <c r="J16" s="32" t="n">
        <f aca="false">INDEX(F5:F244,13*12)</f>
        <v>78105.5622117211</v>
      </c>
    </row>
    <row r="17" customFormat="false" ht="15" hidden="false" customHeight="true" outlineLevel="0" collapsed="false">
      <c r="A17" s="33" t="n">
        <v>13</v>
      </c>
      <c r="B17" s="33" t="n">
        <v>2</v>
      </c>
      <c r="C17" s="35" t="n">
        <f aca="false">F16</f>
        <v>174636.843397467</v>
      </c>
      <c r="D17" s="36" t="n">
        <f aca="false">IF(C17&gt;0,C17*Paramètres!B21/12,0)</f>
        <v>509.35745990928</v>
      </c>
      <c r="E17" s="36" t="n">
        <f aca="false">IF(C17&gt;0,MIN(Paramètres!B23-D17,C17),0)</f>
        <v>540.369629640117</v>
      </c>
      <c r="F17" s="35" t="n">
        <f aca="false">MAX(C17-E17,0)</f>
        <v>174096.473767827</v>
      </c>
      <c r="H17" s="31" t="n">
        <v>14</v>
      </c>
      <c r="I17" s="32" t="n">
        <f aca="false">SUMIF(B5:B244,14,D5:D244)</f>
        <v>2573.92684484227</v>
      </c>
      <c r="J17" s="32" t="n">
        <f aca="false">INDEX(F5:F244,14*12)</f>
        <v>68082.7639819707</v>
      </c>
    </row>
    <row r="18" customFormat="false" ht="15" hidden="false" customHeight="true" outlineLevel="0" collapsed="false">
      <c r="A18" s="33" t="n">
        <v>14</v>
      </c>
      <c r="B18" s="33" t="n">
        <v>2</v>
      </c>
      <c r="C18" s="35" t="n">
        <f aca="false">F17</f>
        <v>174096.473767827</v>
      </c>
      <c r="D18" s="36" t="n">
        <f aca="false">IF(C18&gt;0,C18*Paramètres!B21/12,0)</f>
        <v>507.781381822829</v>
      </c>
      <c r="E18" s="36" t="n">
        <f aca="false">IF(C18&gt;0,MIN(Paramètres!B23-D18,C18),0)</f>
        <v>541.945707726567</v>
      </c>
      <c r="F18" s="35" t="n">
        <f aca="false">MAX(C18-E18,0)</f>
        <v>173554.528060101</v>
      </c>
      <c r="H18" s="31" t="n">
        <v>15</v>
      </c>
      <c r="I18" s="32" t="n">
        <f aca="false">SUMIF(B5:B244,15,D5:D244)</f>
        <v>2217.44645181778</v>
      </c>
      <c r="J18" s="32" t="n">
        <f aca="false">INDEX(F5:F244,15*12)</f>
        <v>57703.4853591957</v>
      </c>
    </row>
    <row r="19" customFormat="false" ht="15" hidden="false" customHeight="true" outlineLevel="0" collapsed="false">
      <c r="A19" s="33" t="n">
        <v>15</v>
      </c>
      <c r="B19" s="33" t="n">
        <v>2</v>
      </c>
      <c r="C19" s="35" t="n">
        <f aca="false">F18</f>
        <v>173554.528060101</v>
      </c>
      <c r="D19" s="36" t="n">
        <f aca="false">IF(C19&gt;0,C19*Paramètres!B21/12,0)</f>
        <v>506.20070684196</v>
      </c>
      <c r="E19" s="36" t="n">
        <f aca="false">IF(C19&gt;0,MIN(Paramètres!B23-D19,C19),0)</f>
        <v>543.526382707436</v>
      </c>
      <c r="F19" s="35" t="n">
        <f aca="false">MAX(C19-E19,0)</f>
        <v>173011.001677393</v>
      </c>
      <c r="H19" s="31" t="n">
        <v>16</v>
      </c>
      <c r="I19" s="32" t="n">
        <f aca="false">SUMIF(B5:B244,16,D5:D244)</f>
        <v>1848.28713742842</v>
      </c>
      <c r="J19" s="32" t="n">
        <f aca="false">INDEX(F5:F244,16*12)</f>
        <v>46955.0474220314</v>
      </c>
    </row>
    <row r="20" customFormat="false" ht="15" hidden="false" customHeight="true" outlineLevel="0" collapsed="false">
      <c r="A20" s="33" t="n">
        <v>16</v>
      </c>
      <c r="B20" s="33" t="n">
        <v>2</v>
      </c>
      <c r="C20" s="35" t="n">
        <f aca="false">F19</f>
        <v>173011.001677393</v>
      </c>
      <c r="D20" s="36" t="n">
        <f aca="false">IF(C20&gt;0,C20*Paramètres!B21/12,0)</f>
        <v>504.615421559064</v>
      </c>
      <c r="E20" s="36" t="n">
        <f aca="false">IF(C20&gt;0,MIN(Paramètres!B23-D20,C20),0)</f>
        <v>545.111667990333</v>
      </c>
      <c r="F20" s="35" t="n">
        <f aca="false">MAX(C20-E20,0)</f>
        <v>172465.890009403</v>
      </c>
      <c r="H20" s="31" t="n">
        <v>17</v>
      </c>
      <c r="I20" s="32" t="n">
        <f aca="false">SUMIF(B5:B244,17,D5:D244)</f>
        <v>1465.99795107461</v>
      </c>
      <c r="J20" s="32" t="n">
        <f aca="false">INDEX(F5:F244,17*12)</f>
        <v>35824.3202985132</v>
      </c>
    </row>
    <row r="21" customFormat="false" ht="15" hidden="false" customHeight="true" outlineLevel="0" collapsed="false">
      <c r="A21" s="33" t="n">
        <v>17</v>
      </c>
      <c r="B21" s="33" t="n">
        <v>2</v>
      </c>
      <c r="C21" s="35" t="n">
        <f aca="false">F20</f>
        <v>172465.890009403</v>
      </c>
      <c r="D21" s="36" t="n">
        <f aca="false">IF(C21&gt;0,C21*Paramètres!B21/12,0)</f>
        <v>503.025512527425</v>
      </c>
      <c r="E21" s="36" t="n">
        <f aca="false">IF(C21&gt;0,MIN(Paramètres!B23-D21,C21),0)</f>
        <v>546.701577021971</v>
      </c>
      <c r="F21" s="35" t="n">
        <f aca="false">MAX(C21-E21,0)</f>
        <v>171919.188432381</v>
      </c>
      <c r="H21" s="31" t="n">
        <v>18</v>
      </c>
      <c r="I21" s="32" t="n">
        <f aca="false">SUMIF(B5:B244,18,D5:D244)</f>
        <v>1070.11190321801</v>
      </c>
      <c r="J21" s="32" t="n">
        <f aca="false">INDEX(F5:F244,18*12)</f>
        <v>24297.7071271385</v>
      </c>
    </row>
    <row r="22" customFormat="false" ht="15" hidden="false" customHeight="true" outlineLevel="0" collapsed="false">
      <c r="A22" s="33" t="n">
        <v>18</v>
      </c>
      <c r="B22" s="33" t="n">
        <v>2</v>
      </c>
      <c r="C22" s="35" t="n">
        <f aca="false">F21</f>
        <v>171919.188432381</v>
      </c>
      <c r="D22" s="36" t="n">
        <f aca="false">IF(C22&gt;0,C22*Paramètres!B21/12,0)</f>
        <v>501.430966261111</v>
      </c>
      <c r="E22" s="36" t="n">
        <f aca="false">IF(C22&gt;0,MIN(Paramètres!B23-D22,C22),0)</f>
        <v>548.296123288285</v>
      </c>
      <c r="F22" s="35" t="n">
        <f aca="false">MAX(C22-E22,0)</f>
        <v>171370.892309093</v>
      </c>
      <c r="H22" s="31" t="n">
        <v>19</v>
      </c>
      <c r="I22" s="32" t="n">
        <f aca="false">SUMIF(B5:B244,19,D5:D244)</f>
        <v>660.145394925319</v>
      </c>
      <c r="J22" s="32" t="n">
        <f aca="false">INDEX(F5:F244,19*12)</f>
        <v>12361.127447471</v>
      </c>
    </row>
    <row r="23" customFormat="false" ht="15" hidden="false" customHeight="true" outlineLevel="0" collapsed="false">
      <c r="A23" s="33" t="n">
        <v>19</v>
      </c>
      <c r="B23" s="33" t="n">
        <v>2</v>
      </c>
      <c r="C23" s="35" t="n">
        <f aca="false">F22</f>
        <v>171370.892309093</v>
      </c>
      <c r="D23" s="36" t="n">
        <f aca="false">IF(C23&gt;0,C23*Paramètres!B21/12,0)</f>
        <v>499.831769234854</v>
      </c>
      <c r="E23" s="36" t="n">
        <f aca="false">IF(C23&gt;0,MIN(Paramètres!B23-D23,C23),0)</f>
        <v>549.895320314543</v>
      </c>
      <c r="F23" s="35" t="n">
        <f aca="false">MAX(C23-E23,0)</f>
        <v>170820.996988778</v>
      </c>
      <c r="H23" s="31" t="n">
        <v>20</v>
      </c>
      <c r="I23" s="32" t="n">
        <f aca="false">SUMIF(B5:B244,20,D5:D244)</f>
        <v>235.59762712276</v>
      </c>
      <c r="J23" s="32" t="n">
        <f aca="false">INDEX(F5:F244,20*12)</f>
        <v>1.05046638054773E-009</v>
      </c>
    </row>
    <row r="24" customFormat="false" ht="15" hidden="false" customHeight="true" outlineLevel="0" collapsed="false">
      <c r="A24" s="33" t="n">
        <v>20</v>
      </c>
      <c r="B24" s="33" t="n">
        <v>2</v>
      </c>
      <c r="C24" s="35" t="n">
        <f aca="false">F23</f>
        <v>170820.996988778</v>
      </c>
      <c r="D24" s="36" t="n">
        <f aca="false">IF(C24&gt;0,C24*Paramètres!B21/12,0)</f>
        <v>498.227907883936</v>
      </c>
      <c r="E24" s="36" t="n">
        <f aca="false">IF(C24&gt;0,MIN(Paramètres!B23-D24,C24),0)</f>
        <v>551.49918166546</v>
      </c>
      <c r="F24" s="35" t="n">
        <f aca="false">MAX(C24-E24,0)</f>
        <v>170269.497807113</v>
      </c>
    </row>
    <row r="25" customFormat="false" ht="15" hidden="false" customHeight="true" outlineLevel="0" collapsed="false">
      <c r="A25" s="33" t="n">
        <v>21</v>
      </c>
      <c r="B25" s="33" t="n">
        <v>2</v>
      </c>
      <c r="C25" s="35" t="n">
        <f aca="false">F24</f>
        <v>170269.497807113</v>
      </c>
      <c r="D25" s="36" t="n">
        <f aca="false">IF(C25&gt;0,C25*Paramètres!B21/12,0)</f>
        <v>496.619368604079</v>
      </c>
      <c r="E25" s="36" t="n">
        <f aca="false">IF(C25&gt;0,MIN(Paramètres!B23-D25,C25),0)</f>
        <v>553.107720945318</v>
      </c>
      <c r="F25" s="35" t="n">
        <f aca="false">MAX(C25-E25,0)</f>
        <v>169716.390086167</v>
      </c>
    </row>
    <row r="26" customFormat="false" ht="15" hidden="false" customHeight="true" outlineLevel="0" collapsed="false">
      <c r="A26" s="33" t="n">
        <v>22</v>
      </c>
      <c r="B26" s="33" t="n">
        <v>2</v>
      </c>
      <c r="C26" s="35" t="n">
        <f aca="false">F25</f>
        <v>169716.390086167</v>
      </c>
      <c r="D26" s="36" t="n">
        <f aca="false">IF(C26&gt;0,C26*Paramètres!B21/12,0)</f>
        <v>495.006137751321</v>
      </c>
      <c r="E26" s="36" t="n">
        <f aca="false">IF(C26&gt;0,MIN(Paramètres!B23-D26,C26),0)</f>
        <v>554.720951798075</v>
      </c>
      <c r="F26" s="35" t="n">
        <f aca="false">MAX(C26-E26,0)</f>
        <v>169161.669134369</v>
      </c>
    </row>
    <row r="27" customFormat="false" ht="15" hidden="false" customHeight="true" outlineLevel="0" collapsed="false">
      <c r="A27" s="33" t="n">
        <v>23</v>
      </c>
      <c r="B27" s="33" t="n">
        <v>2</v>
      </c>
      <c r="C27" s="35" t="n">
        <f aca="false">F26</f>
        <v>169161.669134369</v>
      </c>
      <c r="D27" s="36" t="n">
        <f aca="false">IF(C27&gt;0,C27*Paramètres!B21/12,0)</f>
        <v>493.38820164191</v>
      </c>
      <c r="E27" s="36" t="n">
        <f aca="false">IF(C27&gt;0,MIN(Paramètres!B23-D27,C27),0)</f>
        <v>556.338887907486</v>
      </c>
      <c r="F27" s="35" t="n">
        <f aca="false">MAX(C27-E27,0)</f>
        <v>168605.330246462</v>
      </c>
    </row>
    <row r="28" customFormat="false" ht="15" hidden="false" customHeight="true" outlineLevel="0" collapsed="false">
      <c r="A28" s="33" t="n">
        <v>24</v>
      </c>
      <c r="B28" s="33" t="n">
        <v>2</v>
      </c>
      <c r="C28" s="35" t="n">
        <f aca="false">F27</f>
        <v>168605.330246462</v>
      </c>
      <c r="D28" s="36" t="n">
        <f aca="false">IF(C28&gt;0,C28*Paramètres!B21/12,0)</f>
        <v>491.76554655218</v>
      </c>
      <c r="E28" s="36" t="n">
        <f aca="false">IF(C28&gt;0,MIN(Paramètres!B23-D28,C28),0)</f>
        <v>557.961542997216</v>
      </c>
      <c r="F28" s="35" t="n">
        <f aca="false">MAX(C28-E28,0)</f>
        <v>168047.368703465</v>
      </c>
    </row>
    <row r="29" customFormat="false" ht="15" hidden="false" customHeight="true" outlineLevel="0" collapsed="false">
      <c r="A29" s="33" t="n">
        <v>25</v>
      </c>
      <c r="B29" s="33" t="n">
        <v>3</v>
      </c>
      <c r="C29" s="10" t="n">
        <f aca="false">F28</f>
        <v>168047.368703465</v>
      </c>
      <c r="D29" s="34" t="n">
        <f aca="false">IF(C29&gt;0,C29*Paramètres!B21/12,0)</f>
        <v>490.138158718438</v>
      </c>
      <c r="E29" s="34" t="n">
        <f aca="false">IF(C29&gt;0,MIN(Paramètres!B23-D29,C29),0)</f>
        <v>559.588930830958</v>
      </c>
      <c r="F29" s="10" t="n">
        <f aca="false">MAX(C29-E29,0)</f>
        <v>167487.779772634</v>
      </c>
    </row>
    <row r="30" customFormat="false" ht="15" hidden="false" customHeight="true" outlineLevel="0" collapsed="false">
      <c r="A30" s="33" t="n">
        <v>26</v>
      </c>
      <c r="B30" s="33" t="n">
        <v>3</v>
      </c>
      <c r="C30" s="10" t="n">
        <f aca="false">F29</f>
        <v>167487.779772634</v>
      </c>
      <c r="D30" s="34" t="n">
        <f aca="false">IF(C30&gt;0,C30*Paramètres!B21/12,0)</f>
        <v>488.506024336848</v>
      </c>
      <c r="E30" s="34" t="n">
        <f aca="false">IF(C30&gt;0,MIN(Paramètres!B23-D30,C30),0)</f>
        <v>561.221065212548</v>
      </c>
      <c r="F30" s="10" t="n">
        <f aca="false">MAX(C30-E30,0)</f>
        <v>166926.558707421</v>
      </c>
    </row>
    <row r="31" customFormat="false" ht="15" hidden="false" customHeight="true" outlineLevel="0" collapsed="false">
      <c r="A31" s="33" t="n">
        <v>27</v>
      </c>
      <c r="B31" s="33" t="n">
        <v>3</v>
      </c>
      <c r="C31" s="10" t="n">
        <f aca="false">F30</f>
        <v>166926.558707421</v>
      </c>
      <c r="D31" s="34" t="n">
        <f aca="false">IF(C31&gt;0,C31*Paramètres!B21/12,0)</f>
        <v>486.869129563311</v>
      </c>
      <c r="E31" s="34" t="n">
        <f aca="false">IF(C31&gt;0,MIN(Paramètres!B23-D31,C31),0)</f>
        <v>562.857959986085</v>
      </c>
      <c r="F31" s="10" t="n">
        <f aca="false">MAX(C31-E31,0)</f>
        <v>166363.700747435</v>
      </c>
    </row>
    <row r="32" customFormat="false" ht="15" hidden="false" customHeight="true" outlineLevel="0" collapsed="false">
      <c r="A32" s="33" t="n">
        <v>28</v>
      </c>
      <c r="B32" s="33" t="n">
        <v>3</v>
      </c>
      <c r="C32" s="10" t="n">
        <f aca="false">F31</f>
        <v>166363.700747435</v>
      </c>
      <c r="D32" s="34" t="n">
        <f aca="false">IF(C32&gt;0,C32*Paramètres!B21/12,0)</f>
        <v>485.227460513352</v>
      </c>
      <c r="E32" s="34" t="n">
        <f aca="false">IF(C32&gt;0,MIN(Paramètres!B23-D32,C32),0)</f>
        <v>564.499629036044</v>
      </c>
      <c r="F32" s="10" t="n">
        <f aca="false">MAX(C32-E32,0)</f>
        <v>165799.201118399</v>
      </c>
    </row>
    <row r="33" customFormat="false" ht="15" hidden="false" customHeight="true" outlineLevel="0" collapsed="false">
      <c r="A33" s="33" t="n">
        <v>29</v>
      </c>
      <c r="B33" s="33" t="n">
        <v>3</v>
      </c>
      <c r="C33" s="10" t="n">
        <f aca="false">F32</f>
        <v>165799.201118399</v>
      </c>
      <c r="D33" s="34" t="n">
        <f aca="false">IF(C33&gt;0,C33*Paramètres!B21/12,0)</f>
        <v>483.581003261997</v>
      </c>
      <c r="E33" s="34" t="n">
        <f aca="false">IF(C33&gt;0,MIN(Paramètres!B23-D33,C33),0)</f>
        <v>566.146086287399</v>
      </c>
      <c r="F33" s="10" t="n">
        <f aca="false">MAX(C33-E33,0)</f>
        <v>165233.055032112</v>
      </c>
    </row>
    <row r="34" customFormat="false" ht="15" hidden="false" customHeight="true" outlineLevel="0" collapsed="false">
      <c r="A34" s="33" t="n">
        <v>30</v>
      </c>
      <c r="B34" s="33" t="n">
        <v>3</v>
      </c>
      <c r="C34" s="10" t="n">
        <f aca="false">F33</f>
        <v>165233.055032112</v>
      </c>
      <c r="D34" s="34" t="n">
        <f aca="false">IF(C34&gt;0,C34*Paramètres!B21/12,0)</f>
        <v>481.929743843659</v>
      </c>
      <c r="E34" s="34" t="n">
        <f aca="false">IF(C34&gt;0,MIN(Paramètres!B23-D34,C34),0)</f>
        <v>567.797345705738</v>
      </c>
      <c r="F34" s="10" t="n">
        <f aca="false">MAX(C34-E34,0)</f>
        <v>164665.257686406</v>
      </c>
    </row>
    <row r="35" customFormat="false" ht="15" hidden="false" customHeight="true" outlineLevel="0" collapsed="false">
      <c r="A35" s="33" t="n">
        <v>31</v>
      </c>
      <c r="B35" s="33" t="n">
        <v>3</v>
      </c>
      <c r="C35" s="10" t="n">
        <f aca="false">F34</f>
        <v>164665.257686406</v>
      </c>
      <c r="D35" s="34" t="n">
        <f aca="false">IF(C35&gt;0,C35*Paramètres!B21/12,0)</f>
        <v>480.273668252017</v>
      </c>
      <c r="E35" s="34" t="n">
        <f aca="false">IF(C35&gt;0,MIN(Paramètres!B23-D35,C35),0)</f>
        <v>569.453421297379</v>
      </c>
      <c r="F35" s="10" t="n">
        <f aca="false">MAX(C35-E35,0)</f>
        <v>164095.804265108</v>
      </c>
    </row>
    <row r="36" customFormat="false" ht="15" hidden="false" customHeight="true" outlineLevel="0" collapsed="false">
      <c r="A36" s="33" t="n">
        <v>32</v>
      </c>
      <c r="B36" s="33" t="n">
        <v>3</v>
      </c>
      <c r="C36" s="10" t="n">
        <f aca="false">F35</f>
        <v>164095.804265108</v>
      </c>
      <c r="D36" s="34" t="n">
        <f aca="false">IF(C36&gt;0,C36*Paramètres!B21/12,0)</f>
        <v>478.6127624399</v>
      </c>
      <c r="E36" s="34" t="n">
        <f aca="false">IF(C36&gt;0,MIN(Paramètres!B23-D36,C36),0)</f>
        <v>571.114327109497</v>
      </c>
      <c r="F36" s="10" t="n">
        <f aca="false">MAX(C36-E36,0)</f>
        <v>163524.689937999</v>
      </c>
    </row>
    <row r="37" customFormat="false" ht="15" hidden="false" customHeight="true" outlineLevel="0" collapsed="false">
      <c r="A37" s="33" t="n">
        <v>33</v>
      </c>
      <c r="B37" s="33" t="n">
        <v>3</v>
      </c>
      <c r="C37" s="10" t="n">
        <f aca="false">F36</f>
        <v>163524.689937999</v>
      </c>
      <c r="D37" s="34" t="n">
        <f aca="false">IF(C37&gt;0,C37*Paramètres!B21/12,0)</f>
        <v>476.947012319163</v>
      </c>
      <c r="E37" s="34" t="n">
        <f aca="false">IF(C37&gt;0,MIN(Paramètres!B23-D37,C37),0)</f>
        <v>572.780077230233</v>
      </c>
      <c r="F37" s="10" t="n">
        <f aca="false">MAX(C37-E37,0)</f>
        <v>162951.909860769</v>
      </c>
    </row>
    <row r="38" customFormat="false" ht="15" hidden="false" customHeight="true" outlineLevel="0" collapsed="false">
      <c r="A38" s="33" t="n">
        <v>34</v>
      </c>
      <c r="B38" s="33" t="n">
        <v>3</v>
      </c>
      <c r="C38" s="10" t="n">
        <f aca="false">F37</f>
        <v>162951.909860769</v>
      </c>
      <c r="D38" s="34" t="n">
        <f aca="false">IF(C38&gt;0,C38*Paramètres!B21/12,0)</f>
        <v>475.276403760575</v>
      </c>
      <c r="E38" s="34" t="n">
        <f aca="false">IF(C38&gt;0,MIN(Paramètres!B23-D38,C38),0)</f>
        <v>574.450685788821</v>
      </c>
      <c r="F38" s="10" t="n">
        <f aca="false">MAX(C38-E38,0)</f>
        <v>162377.45917498</v>
      </c>
    </row>
    <row r="39" customFormat="false" ht="15" hidden="false" customHeight="true" outlineLevel="0" collapsed="false">
      <c r="A39" s="33" t="n">
        <v>35</v>
      </c>
      <c r="B39" s="33" t="n">
        <v>3</v>
      </c>
      <c r="C39" s="10" t="n">
        <f aca="false">F38</f>
        <v>162377.45917498</v>
      </c>
      <c r="D39" s="34" t="n">
        <f aca="false">IF(C39&gt;0,C39*Paramètres!B21/12,0)</f>
        <v>473.600922593691</v>
      </c>
      <c r="E39" s="34" t="n">
        <f aca="false">IF(C39&gt;0,MIN(Paramètres!B23-D39,C39),0)</f>
        <v>576.126166955705</v>
      </c>
      <c r="F39" s="10" t="n">
        <f aca="false">MAX(C39-E39,0)</f>
        <v>161801.333008024</v>
      </c>
    </row>
    <row r="40" customFormat="false" ht="15" hidden="false" customHeight="true" outlineLevel="0" collapsed="false">
      <c r="A40" s="33" t="n">
        <v>36</v>
      </c>
      <c r="B40" s="33" t="n">
        <v>3</v>
      </c>
      <c r="C40" s="10" t="n">
        <f aca="false">F39</f>
        <v>161801.333008024</v>
      </c>
      <c r="D40" s="34" t="n">
        <f aca="false">IF(C40&gt;0,C40*Paramètres!B21/12,0)</f>
        <v>471.920554606737</v>
      </c>
      <c r="E40" s="34" t="n">
        <f aca="false">IF(C40&gt;0,MIN(Paramètres!B23-D40,C40),0)</f>
        <v>577.806534942659</v>
      </c>
      <c r="F40" s="10" t="n">
        <f aca="false">MAX(C40-E40,0)</f>
        <v>161223.526473081</v>
      </c>
    </row>
    <row r="41" customFormat="false" ht="15" hidden="false" customHeight="true" outlineLevel="0" collapsed="false">
      <c r="A41" s="33" t="n">
        <v>37</v>
      </c>
      <c r="B41" s="33" t="n">
        <v>4</v>
      </c>
      <c r="C41" s="35" t="n">
        <f aca="false">F40</f>
        <v>161223.526473081</v>
      </c>
      <c r="D41" s="36" t="n">
        <f aca="false">IF(C41&gt;0,C41*Paramètres!B21/12,0)</f>
        <v>470.235285546488</v>
      </c>
      <c r="E41" s="36" t="n">
        <f aca="false">IF(C41&gt;0,MIN(Paramètres!B23-D41,C41),0)</f>
        <v>579.491804002909</v>
      </c>
      <c r="F41" s="35" t="n">
        <f aca="false">MAX(C41-E41,0)</f>
        <v>160644.034669079</v>
      </c>
    </row>
    <row r="42" customFormat="false" ht="15" hidden="false" customHeight="true" outlineLevel="0" collapsed="false">
      <c r="A42" s="33" t="n">
        <v>38</v>
      </c>
      <c r="B42" s="33" t="n">
        <v>4</v>
      </c>
      <c r="C42" s="35" t="n">
        <f aca="false">F41</f>
        <v>160644.034669079</v>
      </c>
      <c r="D42" s="36" t="n">
        <f aca="false">IF(C42&gt;0,C42*Paramètres!B21/12,0)</f>
        <v>468.545101118146</v>
      </c>
      <c r="E42" s="36" t="n">
        <f aca="false">IF(C42&gt;0,MIN(Paramètres!B23-D42,C42),0)</f>
        <v>581.18198843125</v>
      </c>
      <c r="F42" s="35" t="n">
        <f aca="false">MAX(C42-E42,0)</f>
        <v>160062.852680647</v>
      </c>
    </row>
    <row r="43" customFormat="false" ht="15" hidden="false" customHeight="true" outlineLevel="0" collapsed="false">
      <c r="A43" s="33" t="n">
        <v>39</v>
      </c>
      <c r="B43" s="33" t="n">
        <v>4</v>
      </c>
      <c r="C43" s="35" t="n">
        <f aca="false">F42</f>
        <v>160062.852680647</v>
      </c>
      <c r="D43" s="36" t="n">
        <f aca="false">IF(C43&gt;0,C43*Paramètres!B21/12,0)</f>
        <v>466.849986985221</v>
      </c>
      <c r="E43" s="36" t="n">
        <f aca="false">IF(C43&gt;0,MIN(Paramètres!B23-D43,C43),0)</f>
        <v>582.877102564175</v>
      </c>
      <c r="F43" s="35" t="n">
        <f aca="false">MAX(C43-E43,0)</f>
        <v>159479.975578083</v>
      </c>
    </row>
    <row r="44" customFormat="false" ht="15" hidden="false" customHeight="true" outlineLevel="0" collapsed="false">
      <c r="A44" s="33" t="n">
        <v>40</v>
      </c>
      <c r="B44" s="33" t="n">
        <v>4</v>
      </c>
      <c r="C44" s="35" t="n">
        <f aca="false">F43</f>
        <v>159479.975578083</v>
      </c>
      <c r="D44" s="36" t="n">
        <f aca="false">IF(C44&gt;0,C44*Paramètres!B21/12,0)</f>
        <v>465.149928769409</v>
      </c>
      <c r="E44" s="36" t="n">
        <f aca="false">IF(C44&gt;0,MIN(Paramètres!B23-D44,C44),0)</f>
        <v>584.577160779987</v>
      </c>
      <c r="F44" s="35" t="n">
        <f aca="false">MAX(C44-E44,0)</f>
        <v>158895.398417303</v>
      </c>
    </row>
    <row r="45" customFormat="false" ht="15" hidden="false" customHeight="true" outlineLevel="0" collapsed="false">
      <c r="A45" s="33" t="n">
        <v>41</v>
      </c>
      <c r="B45" s="33" t="n">
        <v>4</v>
      </c>
      <c r="C45" s="35" t="n">
        <f aca="false">F44</f>
        <v>158895.398417303</v>
      </c>
      <c r="D45" s="36" t="n">
        <f aca="false">IF(C45&gt;0,C45*Paramètres!B21/12,0)</f>
        <v>463.444912050468</v>
      </c>
      <c r="E45" s="36" t="n">
        <f aca="false">IF(C45&gt;0,MIN(Paramètres!B23-D45,C45),0)</f>
        <v>586.282177498929</v>
      </c>
      <c r="F45" s="35" t="n">
        <f aca="false">MAX(C45-E45,0)</f>
        <v>158309.116239804</v>
      </c>
    </row>
    <row r="46" customFormat="false" ht="15" hidden="false" customHeight="true" outlineLevel="0" collapsed="false">
      <c r="A46" s="33" t="n">
        <v>42</v>
      </c>
      <c r="B46" s="33" t="n">
        <v>4</v>
      </c>
      <c r="C46" s="35" t="n">
        <f aca="false">F45</f>
        <v>158309.116239804</v>
      </c>
      <c r="D46" s="36" t="n">
        <f aca="false">IF(C46&gt;0,C46*Paramètres!B21/12,0)</f>
        <v>461.734922366096</v>
      </c>
      <c r="E46" s="36" t="n">
        <f aca="false">IF(C46&gt;0,MIN(Paramètres!B23-D46,C46),0)</f>
        <v>587.992167183301</v>
      </c>
      <c r="F46" s="35" t="n">
        <f aca="false">MAX(C46-E46,0)</f>
        <v>157721.124072621</v>
      </c>
    </row>
    <row r="47" customFormat="false" ht="15" hidden="false" customHeight="true" outlineLevel="0" collapsed="false">
      <c r="A47" s="33" t="n">
        <v>43</v>
      </c>
      <c r="B47" s="33" t="n">
        <v>4</v>
      </c>
      <c r="C47" s="35" t="n">
        <f aca="false">F46</f>
        <v>157721.124072621</v>
      </c>
      <c r="D47" s="36" t="n">
        <f aca="false">IF(C47&gt;0,C47*Paramètres!B21/12,0)</f>
        <v>460.019945211811</v>
      </c>
      <c r="E47" s="36" t="n">
        <f aca="false">IF(C47&gt;0,MIN(Paramètres!B23-D47,C47),0)</f>
        <v>589.707144337585</v>
      </c>
      <c r="F47" s="35" t="n">
        <f aca="false">MAX(C47-E47,0)</f>
        <v>157131.416928283</v>
      </c>
    </row>
    <row r="48" customFormat="false" ht="15" hidden="false" customHeight="true" outlineLevel="0" collapsed="false">
      <c r="A48" s="33" t="n">
        <v>44</v>
      </c>
      <c r="B48" s="33" t="n">
        <v>4</v>
      </c>
      <c r="C48" s="35" t="n">
        <f aca="false">F47</f>
        <v>157131.416928283</v>
      </c>
      <c r="D48" s="36" t="n">
        <f aca="false">IF(C48&gt;0,C48*Paramètres!B21/12,0)</f>
        <v>458.299966040826</v>
      </c>
      <c r="E48" s="36" t="n">
        <f aca="false">IF(C48&gt;0,MIN(Paramètres!B23-D48,C48),0)</f>
        <v>591.42712350857</v>
      </c>
      <c r="F48" s="35" t="n">
        <f aca="false">MAX(C48-E48,0)</f>
        <v>156539.989804775</v>
      </c>
    </row>
    <row r="49" customFormat="false" ht="15" hidden="false" customHeight="true" outlineLevel="0" collapsed="false">
      <c r="A49" s="33" t="n">
        <v>45</v>
      </c>
      <c r="B49" s="33" t="n">
        <v>4</v>
      </c>
      <c r="C49" s="35" t="n">
        <f aca="false">F48</f>
        <v>156539.989804775</v>
      </c>
      <c r="D49" s="36" t="n">
        <f aca="false">IF(C49&gt;0,C49*Paramètres!B21/12,0)</f>
        <v>456.574970263926</v>
      </c>
      <c r="E49" s="36" t="n">
        <f aca="false">IF(C49&gt;0,MIN(Paramètres!B23-D49,C49),0)</f>
        <v>593.15211928547</v>
      </c>
      <c r="F49" s="35" t="n">
        <f aca="false">MAX(C49-E49,0)</f>
        <v>155946.837685489</v>
      </c>
    </row>
    <row r="50" customFormat="false" ht="15" hidden="false" customHeight="true" outlineLevel="0" collapsed="false">
      <c r="A50" s="33" t="n">
        <v>46</v>
      </c>
      <c r="B50" s="33" t="n">
        <v>4</v>
      </c>
      <c r="C50" s="35" t="n">
        <f aca="false">F49</f>
        <v>155946.837685489</v>
      </c>
      <c r="D50" s="36" t="n">
        <f aca="false">IF(C50&gt;0,C50*Paramètres!B21/12,0)</f>
        <v>454.844943249344</v>
      </c>
      <c r="E50" s="36" t="n">
        <f aca="false">IF(C50&gt;0,MIN(Paramètres!B23-D50,C50),0)</f>
        <v>594.882146300053</v>
      </c>
      <c r="F50" s="35" t="n">
        <f aca="false">MAX(C50-E50,0)</f>
        <v>155351.955539189</v>
      </c>
    </row>
    <row r="51" customFormat="false" ht="15" hidden="false" customHeight="true" outlineLevel="0" collapsed="false">
      <c r="A51" s="33" t="n">
        <v>47</v>
      </c>
      <c r="B51" s="33" t="n">
        <v>4</v>
      </c>
      <c r="C51" s="35" t="n">
        <f aca="false">F50</f>
        <v>155351.955539189</v>
      </c>
      <c r="D51" s="36" t="n">
        <f aca="false">IF(C51&gt;0,C51*Paramètres!B21/12,0)</f>
        <v>453.109870322635</v>
      </c>
      <c r="E51" s="36" t="n">
        <f aca="false">IF(C51&gt;0,MIN(Paramètres!B23-D51,C51),0)</f>
        <v>596.617219226761</v>
      </c>
      <c r="F51" s="35" t="n">
        <f aca="false">MAX(C51-E51,0)</f>
        <v>154755.338319962</v>
      </c>
    </row>
    <row r="52" customFormat="false" ht="15" hidden="false" customHeight="true" outlineLevel="0" collapsed="false">
      <c r="A52" s="33" t="n">
        <v>48</v>
      </c>
      <c r="B52" s="33" t="n">
        <v>4</v>
      </c>
      <c r="C52" s="35" t="n">
        <f aca="false">F51</f>
        <v>154755.338319962</v>
      </c>
      <c r="D52" s="36" t="n">
        <f aca="false">IF(C52&gt;0,C52*Paramètres!B21/12,0)</f>
        <v>451.369736766557</v>
      </c>
      <c r="E52" s="36" t="n">
        <f aca="false">IF(C52&gt;0,MIN(Paramètres!B23-D52,C52),0)</f>
        <v>598.357352782839</v>
      </c>
      <c r="F52" s="35" t="n">
        <f aca="false">MAX(C52-E52,0)</f>
        <v>154156.98096718</v>
      </c>
    </row>
    <row r="53" customFormat="false" ht="15" hidden="false" customHeight="true" outlineLevel="0" collapsed="false">
      <c r="A53" s="33" t="n">
        <v>49</v>
      </c>
      <c r="B53" s="33" t="n">
        <v>5</v>
      </c>
      <c r="C53" s="10" t="n">
        <f aca="false">F52</f>
        <v>154156.98096718</v>
      </c>
      <c r="D53" s="34" t="n">
        <f aca="false">IF(C53&gt;0,C53*Paramètres!B21/12,0)</f>
        <v>449.624527820941</v>
      </c>
      <c r="E53" s="34" t="n">
        <f aca="false">IF(C53&gt;0,MIN(Paramètres!B23-D53,C53),0)</f>
        <v>600.102561728456</v>
      </c>
      <c r="F53" s="10" t="n">
        <f aca="false">MAX(C53-E53,0)</f>
        <v>153556.878405451</v>
      </c>
    </row>
    <row r="54" customFormat="false" ht="15" hidden="false" customHeight="true" outlineLevel="0" collapsed="false">
      <c r="A54" s="33" t="n">
        <v>50</v>
      </c>
      <c r="B54" s="33" t="n">
        <v>5</v>
      </c>
      <c r="C54" s="10" t="n">
        <f aca="false">F53</f>
        <v>153556.878405451</v>
      </c>
      <c r="D54" s="34" t="n">
        <f aca="false">IF(C54&gt;0,C54*Paramètres!B21/12,0)</f>
        <v>447.874228682566</v>
      </c>
      <c r="E54" s="34" t="n">
        <f aca="false">IF(C54&gt;0,MIN(Paramètres!B23-D54,C54),0)</f>
        <v>601.85286086683</v>
      </c>
      <c r="F54" s="10" t="n">
        <f aca="false">MAX(C54-E54,0)</f>
        <v>152955.025544584</v>
      </c>
    </row>
    <row r="55" customFormat="false" ht="15" hidden="false" customHeight="true" outlineLevel="0" collapsed="false">
      <c r="A55" s="33" t="n">
        <v>51</v>
      </c>
      <c r="B55" s="33" t="n">
        <v>5</v>
      </c>
      <c r="C55" s="10" t="n">
        <f aca="false">F54</f>
        <v>152955.025544584</v>
      </c>
      <c r="D55" s="34" t="n">
        <f aca="false">IF(C55&gt;0,C55*Paramètres!B21/12,0)</f>
        <v>446.118824505038</v>
      </c>
      <c r="E55" s="34" t="n">
        <f aca="false">IF(C55&gt;0,MIN(Paramètres!B23-D55,C55),0)</f>
        <v>603.608265044358</v>
      </c>
      <c r="F55" s="10" t="n">
        <f aca="false">MAX(C55-E55,0)</f>
        <v>152351.41727954</v>
      </c>
    </row>
    <row r="56" customFormat="false" ht="15" hidden="false" customHeight="true" outlineLevel="0" collapsed="false">
      <c r="A56" s="33" t="n">
        <v>52</v>
      </c>
      <c r="B56" s="33" t="n">
        <v>5</v>
      </c>
      <c r="C56" s="10" t="n">
        <f aca="false">F55</f>
        <v>152351.41727954</v>
      </c>
      <c r="D56" s="34" t="n">
        <f aca="false">IF(C56&gt;0,C56*Paramètres!B21/12,0)</f>
        <v>444.358300398658</v>
      </c>
      <c r="E56" s="34" t="n">
        <f aca="false">IF(C56&gt;0,MIN(Paramètres!B23-D56,C56),0)</f>
        <v>605.368789150738</v>
      </c>
      <c r="F56" s="10" t="n">
        <f aca="false">MAX(C56-E56,0)</f>
        <v>151746.048490389</v>
      </c>
    </row>
    <row r="57" customFormat="false" ht="15" hidden="false" customHeight="true" outlineLevel="0" collapsed="false">
      <c r="A57" s="33" t="n">
        <v>53</v>
      </c>
      <c r="B57" s="33" t="n">
        <v>5</v>
      </c>
      <c r="C57" s="10" t="n">
        <f aca="false">F56</f>
        <v>151746.048490389</v>
      </c>
      <c r="D57" s="34" t="n">
        <f aca="false">IF(C57&gt;0,C57*Paramètres!B21/12,0)</f>
        <v>442.592641430302</v>
      </c>
      <c r="E57" s="34" t="n">
        <f aca="false">IF(C57&gt;0,MIN(Paramètres!B23-D57,C57),0)</f>
        <v>607.134448119094</v>
      </c>
      <c r="F57" s="10" t="n">
        <f aca="false">MAX(C57-E57,0)</f>
        <v>151138.91404227</v>
      </c>
    </row>
    <row r="58" customFormat="false" ht="15" hidden="false" customHeight="true" outlineLevel="0" collapsed="false">
      <c r="A58" s="33" t="n">
        <v>54</v>
      </c>
      <c r="B58" s="33" t="n">
        <v>5</v>
      </c>
      <c r="C58" s="10" t="n">
        <f aca="false">F57</f>
        <v>151138.91404227</v>
      </c>
      <c r="D58" s="34" t="n">
        <f aca="false">IF(C58&gt;0,C58*Paramètres!B21/12,0)</f>
        <v>440.821832623288</v>
      </c>
      <c r="E58" s="34" t="n">
        <f aca="false">IF(C58&gt;0,MIN(Paramètres!B23-D58,C58),0)</f>
        <v>608.905256926108</v>
      </c>
      <c r="F58" s="10" t="n">
        <f aca="false">MAX(C58-E58,0)</f>
        <v>150530.008785344</v>
      </c>
    </row>
    <row r="59" customFormat="false" ht="15" hidden="false" customHeight="true" outlineLevel="0" collapsed="false">
      <c r="A59" s="33" t="n">
        <v>55</v>
      </c>
      <c r="B59" s="33" t="n">
        <v>5</v>
      </c>
      <c r="C59" s="10" t="n">
        <f aca="false">F58</f>
        <v>150530.008785344</v>
      </c>
      <c r="D59" s="34" t="n">
        <f aca="false">IF(C59&gt;0,C59*Paramètres!B21/12,0)</f>
        <v>439.045858957254</v>
      </c>
      <c r="E59" s="34" t="n">
        <f aca="false">IF(C59&gt;0,MIN(Paramètres!B23-D59,C59),0)</f>
        <v>610.681230592143</v>
      </c>
      <c r="F59" s="10" t="n">
        <f aca="false">MAX(C59-E59,0)</f>
        <v>149919.327554752</v>
      </c>
    </row>
    <row r="60" customFormat="false" ht="15" hidden="false" customHeight="true" outlineLevel="0" collapsed="false">
      <c r="A60" s="33" t="n">
        <v>56</v>
      </c>
      <c r="B60" s="33" t="n">
        <v>5</v>
      </c>
      <c r="C60" s="10" t="n">
        <f aca="false">F59</f>
        <v>149919.327554752</v>
      </c>
      <c r="D60" s="34" t="n">
        <f aca="false">IF(C60&gt;0,C60*Paramètres!B21/12,0)</f>
        <v>437.264705368026</v>
      </c>
      <c r="E60" s="34" t="n">
        <f aca="false">IF(C60&gt;0,MIN(Paramètres!B23-D60,C60),0)</f>
        <v>612.46238418137</v>
      </c>
      <c r="F60" s="10" t="n">
        <f aca="false">MAX(C60-E60,0)</f>
        <v>149306.865170571</v>
      </c>
    </row>
    <row r="61" customFormat="false" ht="15" hidden="false" customHeight="true" outlineLevel="0" collapsed="false">
      <c r="A61" s="33" t="n">
        <v>57</v>
      </c>
      <c r="B61" s="33" t="n">
        <v>5</v>
      </c>
      <c r="C61" s="10" t="n">
        <f aca="false">F60</f>
        <v>149306.865170571</v>
      </c>
      <c r="D61" s="34" t="n">
        <f aca="false">IF(C61&gt;0,C61*Paramètres!B21/12,0)</f>
        <v>435.478356747497</v>
      </c>
      <c r="E61" s="34" t="n">
        <f aca="false">IF(C61&gt;0,MIN(Paramètres!B23-D61,C61),0)</f>
        <v>614.248732801899</v>
      </c>
      <c r="F61" s="10" t="n">
        <f aca="false">MAX(C61-E61,0)</f>
        <v>148692.616437769</v>
      </c>
    </row>
    <row r="62" customFormat="false" ht="15" hidden="false" customHeight="true" outlineLevel="0" collapsed="false">
      <c r="A62" s="33" t="n">
        <v>58</v>
      </c>
      <c r="B62" s="33" t="n">
        <v>5</v>
      </c>
      <c r="C62" s="10" t="n">
        <f aca="false">F61</f>
        <v>148692.616437769</v>
      </c>
      <c r="D62" s="34" t="n">
        <f aca="false">IF(C62&gt;0,C62*Paramètres!B21/12,0)</f>
        <v>433.686797943492</v>
      </c>
      <c r="E62" s="34" t="n">
        <f aca="false">IF(C62&gt;0,MIN(Paramètres!B23-D62,C62),0)</f>
        <v>616.040291605904</v>
      </c>
      <c r="F62" s="10" t="n">
        <f aca="false">MAX(C62-E62,0)</f>
        <v>148076.576146163</v>
      </c>
    </row>
    <row r="63" customFormat="false" ht="15" hidden="false" customHeight="true" outlineLevel="0" collapsed="false">
      <c r="A63" s="33" t="n">
        <v>59</v>
      </c>
      <c r="B63" s="33" t="n">
        <v>5</v>
      </c>
      <c r="C63" s="10" t="n">
        <f aca="false">F62</f>
        <v>148076.576146163</v>
      </c>
      <c r="D63" s="34" t="n">
        <f aca="false">IF(C63&gt;0,C63*Paramètres!B21/12,0)</f>
        <v>431.890013759641</v>
      </c>
      <c r="E63" s="34" t="n">
        <f aca="false">IF(C63&gt;0,MIN(Paramètres!B23-D63,C63),0)</f>
        <v>617.837075789755</v>
      </c>
      <c r="F63" s="10" t="n">
        <f aca="false">MAX(C63-E63,0)</f>
        <v>147458.739070373</v>
      </c>
    </row>
    <row r="64" customFormat="false" ht="15" hidden="false" customHeight="true" outlineLevel="0" collapsed="false">
      <c r="A64" s="33" t="n">
        <v>60</v>
      </c>
      <c r="B64" s="33" t="n">
        <v>5</v>
      </c>
      <c r="C64" s="10" t="n">
        <f aca="false">F63</f>
        <v>147458.739070373</v>
      </c>
      <c r="D64" s="34" t="n">
        <f aca="false">IF(C64&gt;0,C64*Paramètres!B21/12,0)</f>
        <v>430.087988955255</v>
      </c>
      <c r="E64" s="34" t="n">
        <f aca="false">IF(C64&gt;0,MIN(Paramètres!B23-D64,C64),0)</f>
        <v>619.639100594142</v>
      </c>
      <c r="F64" s="10" t="n">
        <f aca="false">MAX(C64-E64,0)</f>
        <v>146839.099969779</v>
      </c>
    </row>
    <row r="65" customFormat="false" ht="15" hidden="false" customHeight="true" outlineLevel="0" collapsed="false">
      <c r="A65" s="33" t="n">
        <v>61</v>
      </c>
      <c r="B65" s="33" t="n">
        <v>6</v>
      </c>
      <c r="C65" s="35" t="n">
        <f aca="false">F64</f>
        <v>146839.099969779</v>
      </c>
      <c r="D65" s="36" t="n">
        <f aca="false">IF(C65&gt;0,C65*Paramètres!B21/12,0)</f>
        <v>428.280708245188</v>
      </c>
      <c r="E65" s="36" t="n">
        <f aca="false">IF(C65&gt;0,MIN(Paramètres!B23-D65,C65),0)</f>
        <v>621.446381304208</v>
      </c>
      <c r="F65" s="35" t="n">
        <f aca="false">MAX(C65-E65,0)</f>
        <v>146217.653588475</v>
      </c>
    </row>
    <row r="66" customFormat="false" ht="15" hidden="false" customHeight="true" outlineLevel="0" collapsed="false">
      <c r="A66" s="33" t="n">
        <v>62</v>
      </c>
      <c r="B66" s="33" t="n">
        <v>6</v>
      </c>
      <c r="C66" s="35" t="n">
        <f aca="false">F65</f>
        <v>146217.653588475</v>
      </c>
      <c r="D66" s="36" t="n">
        <f aca="false">IF(C66&gt;0,C66*Paramètres!B21/12,0)</f>
        <v>426.468156299718</v>
      </c>
      <c r="E66" s="36" t="n">
        <f aca="false">IF(C66&gt;0,MIN(Paramètres!B23-D66,C66),0)</f>
        <v>623.258933249678</v>
      </c>
      <c r="F66" s="35" t="n">
        <f aca="false">MAX(C66-E66,0)</f>
        <v>145594.394655225</v>
      </c>
    </row>
    <row r="67" customFormat="false" ht="15" hidden="false" customHeight="true" outlineLevel="0" collapsed="false">
      <c r="A67" s="33" t="n">
        <v>63</v>
      </c>
      <c r="B67" s="33" t="n">
        <v>6</v>
      </c>
      <c r="C67" s="35" t="n">
        <f aca="false">F66</f>
        <v>145594.394655225</v>
      </c>
      <c r="D67" s="36" t="n">
        <f aca="false">IF(C67&gt;0,C67*Paramètres!B21/12,0)</f>
        <v>424.650317744406</v>
      </c>
      <c r="E67" s="36" t="n">
        <f aca="false">IF(C67&gt;0,MIN(Paramètres!B23-D67,C67),0)</f>
        <v>625.07677180499</v>
      </c>
      <c r="F67" s="35" t="n">
        <f aca="false">MAX(C67-E67,0)</f>
        <v>144969.31788342</v>
      </c>
    </row>
    <row r="68" customFormat="false" ht="15" hidden="false" customHeight="true" outlineLevel="0" collapsed="false">
      <c r="A68" s="33" t="n">
        <v>64</v>
      </c>
      <c r="B68" s="33" t="n">
        <v>6</v>
      </c>
      <c r="C68" s="35" t="n">
        <f aca="false">F67</f>
        <v>144969.31788342</v>
      </c>
      <c r="D68" s="36" t="n">
        <f aca="false">IF(C68&gt;0,C68*Paramètres!B21/12,0)</f>
        <v>422.827177159975</v>
      </c>
      <c r="E68" s="36" t="n">
        <f aca="false">IF(C68&gt;0,MIN(Paramètres!B23-D68,C68),0)</f>
        <v>626.899912389421</v>
      </c>
      <c r="F68" s="35" t="n">
        <f aca="false">MAX(C68-E68,0)</f>
        <v>144342.417971031</v>
      </c>
    </row>
    <row r="69" customFormat="false" ht="15" hidden="false" customHeight="true" outlineLevel="0" collapsed="false">
      <c r="A69" s="33" t="n">
        <v>65</v>
      </c>
      <c r="B69" s="33" t="n">
        <v>6</v>
      </c>
      <c r="C69" s="35" t="n">
        <f aca="false">F68</f>
        <v>144342.417971031</v>
      </c>
      <c r="D69" s="36" t="n">
        <f aca="false">IF(C69&gt;0,C69*Paramètres!B21/12,0)</f>
        <v>420.998719082173</v>
      </c>
      <c r="E69" s="36" t="n">
        <f aca="false">IF(C69&gt;0,MIN(Paramètres!B23-D69,C69),0)</f>
        <v>628.728370467224</v>
      </c>
      <c r="F69" s="35" t="n">
        <f aca="false">MAX(C69-E69,0)</f>
        <v>143713.689600563</v>
      </c>
    </row>
    <row r="70" customFormat="false" ht="15" hidden="false" customHeight="true" outlineLevel="0" collapsed="false">
      <c r="A70" s="33" t="n">
        <v>66</v>
      </c>
      <c r="B70" s="33" t="n">
        <v>6</v>
      </c>
      <c r="C70" s="35" t="n">
        <f aca="false">F69</f>
        <v>143713.689600563</v>
      </c>
      <c r="D70" s="36" t="n">
        <f aca="false">IF(C70&gt;0,C70*Paramètres!B21/12,0)</f>
        <v>419.164928001643</v>
      </c>
      <c r="E70" s="36" t="n">
        <f aca="false">IF(C70&gt;0,MIN(Paramètres!B23-D70,C70),0)</f>
        <v>630.562161547753</v>
      </c>
      <c r="F70" s="35" t="n">
        <f aca="false">MAX(C70-E70,0)</f>
        <v>143083.127439016</v>
      </c>
    </row>
    <row r="71" customFormat="false" ht="15" hidden="false" customHeight="true" outlineLevel="0" collapsed="false">
      <c r="A71" s="33" t="n">
        <v>67</v>
      </c>
      <c r="B71" s="33" t="n">
        <v>6</v>
      </c>
      <c r="C71" s="35" t="n">
        <f aca="false">F70</f>
        <v>143083.127439016</v>
      </c>
      <c r="D71" s="36" t="n">
        <f aca="false">IF(C71&gt;0,C71*Paramètres!B21/12,0)</f>
        <v>417.325788363796</v>
      </c>
      <c r="E71" s="36" t="n">
        <f aca="false">IF(C71&gt;0,MIN(Paramètres!B23-D71,C71),0)</f>
        <v>632.401301185601</v>
      </c>
      <c r="F71" s="35" t="n">
        <f aca="false">MAX(C71-E71,0)</f>
        <v>142450.72613783</v>
      </c>
    </row>
    <row r="72" customFormat="false" ht="15" hidden="false" customHeight="true" outlineLevel="0" collapsed="false">
      <c r="A72" s="33" t="n">
        <v>68</v>
      </c>
      <c r="B72" s="33" t="n">
        <v>6</v>
      </c>
      <c r="C72" s="35" t="n">
        <f aca="false">F71</f>
        <v>142450.72613783</v>
      </c>
      <c r="D72" s="36" t="n">
        <f aca="false">IF(C72&gt;0,C72*Paramètres!B21/12,0)</f>
        <v>415.481284568671</v>
      </c>
      <c r="E72" s="36" t="n">
        <f aca="false">IF(C72&gt;0,MIN(Paramètres!B23-D72,C72),0)</f>
        <v>634.245804980725</v>
      </c>
      <c r="F72" s="35" t="n">
        <f aca="false">MAX(C72-E72,0)</f>
        <v>141816.480332849</v>
      </c>
    </row>
    <row r="73" customFormat="false" ht="15" hidden="false" customHeight="true" outlineLevel="0" collapsed="false">
      <c r="A73" s="33" t="n">
        <v>69</v>
      </c>
      <c r="B73" s="33" t="n">
        <v>6</v>
      </c>
      <c r="C73" s="35" t="n">
        <f aca="false">F72</f>
        <v>141816.480332849</v>
      </c>
      <c r="D73" s="36" t="n">
        <f aca="false">IF(C73&gt;0,C73*Paramètres!B21/12,0)</f>
        <v>413.63140097081</v>
      </c>
      <c r="E73" s="36" t="n">
        <f aca="false">IF(C73&gt;0,MIN(Paramètres!B23-D73,C73),0)</f>
        <v>636.095688578586</v>
      </c>
      <c r="F73" s="35" t="n">
        <f aca="false">MAX(C73-E73,0)</f>
        <v>141180.384644271</v>
      </c>
    </row>
    <row r="74" customFormat="false" ht="15" hidden="false" customHeight="true" outlineLevel="0" collapsed="false">
      <c r="A74" s="33" t="n">
        <v>70</v>
      </c>
      <c r="B74" s="33" t="n">
        <v>6</v>
      </c>
      <c r="C74" s="35" t="n">
        <f aca="false">F73</f>
        <v>141180.384644271</v>
      </c>
      <c r="D74" s="36" t="n">
        <f aca="false">IF(C74&gt;0,C74*Paramètres!B21/12,0)</f>
        <v>411.776121879123</v>
      </c>
      <c r="E74" s="36" t="n">
        <f aca="false">IF(C74&gt;0,MIN(Paramètres!B23-D74,C74),0)</f>
        <v>637.950967670273</v>
      </c>
      <c r="F74" s="35" t="n">
        <f aca="false">MAX(C74-E74,0)</f>
        <v>140542.4336766</v>
      </c>
    </row>
    <row r="75" customFormat="false" ht="15" hidden="false" customHeight="true" outlineLevel="0" collapsed="false">
      <c r="A75" s="33" t="n">
        <v>71</v>
      </c>
      <c r="B75" s="33" t="n">
        <v>6</v>
      </c>
      <c r="C75" s="35" t="n">
        <f aca="false">F74</f>
        <v>140542.4336766</v>
      </c>
      <c r="D75" s="36" t="n">
        <f aca="false">IF(C75&gt;0,C75*Paramètres!B21/12,0)</f>
        <v>409.915431556751</v>
      </c>
      <c r="E75" s="36" t="n">
        <f aca="false">IF(C75&gt;0,MIN(Paramètres!B23-D75,C75),0)</f>
        <v>639.811657992645</v>
      </c>
      <c r="F75" s="35" t="n">
        <f aca="false">MAX(C75-E75,0)</f>
        <v>139902.622018608</v>
      </c>
    </row>
    <row r="76" customFormat="false" ht="15" hidden="false" customHeight="true" outlineLevel="0" collapsed="false">
      <c r="A76" s="33" t="n">
        <v>72</v>
      </c>
      <c r="B76" s="33" t="n">
        <v>6</v>
      </c>
      <c r="C76" s="35" t="n">
        <f aca="false">F75</f>
        <v>139902.622018608</v>
      </c>
      <c r="D76" s="36" t="n">
        <f aca="false">IF(C76&gt;0,C76*Paramètres!B21/12,0)</f>
        <v>408.049314220939</v>
      </c>
      <c r="E76" s="36" t="n">
        <f aca="false">IF(C76&gt;0,MIN(Paramètres!B23-D76,C76),0)</f>
        <v>641.677775328457</v>
      </c>
      <c r="F76" s="35" t="n">
        <f aca="false">MAX(C76-E76,0)</f>
        <v>139260.944243279</v>
      </c>
    </row>
    <row r="77" customFormat="false" ht="15" hidden="false" customHeight="true" outlineLevel="0" collapsed="false">
      <c r="A77" s="33" t="n">
        <v>73</v>
      </c>
      <c r="B77" s="33" t="n">
        <v>7</v>
      </c>
      <c r="C77" s="10" t="n">
        <f aca="false">F76</f>
        <v>139260.944243279</v>
      </c>
      <c r="D77" s="34" t="n">
        <f aca="false">IF(C77&gt;0,C77*Paramètres!B21/12,0)</f>
        <v>406.177754042898</v>
      </c>
      <c r="E77" s="34" t="n">
        <f aca="false">IF(C77&gt;0,MIN(Paramètres!B23-D77,C77),0)</f>
        <v>643.549335506498</v>
      </c>
      <c r="F77" s="10" t="n">
        <f aca="false">MAX(C77-E77,0)</f>
        <v>138617.394907773</v>
      </c>
    </row>
    <row r="78" customFormat="false" ht="15" hidden="false" customHeight="true" outlineLevel="0" collapsed="false">
      <c r="A78" s="33" t="n">
        <v>74</v>
      </c>
      <c r="B78" s="33" t="n">
        <v>7</v>
      </c>
      <c r="C78" s="10" t="n">
        <f aca="false">F77</f>
        <v>138617.394907773</v>
      </c>
      <c r="D78" s="34" t="n">
        <f aca="false">IF(C78&gt;0,C78*Paramètres!B21/12,0)</f>
        <v>404.300735147671</v>
      </c>
      <c r="E78" s="34" t="n">
        <f aca="false">IF(C78&gt;0,MIN(Paramètres!B23-D78,C78),0)</f>
        <v>645.426354401726</v>
      </c>
      <c r="F78" s="10" t="n">
        <f aca="false">MAX(C78-E78,0)</f>
        <v>137971.968553371</v>
      </c>
    </row>
    <row r="79" customFormat="false" ht="15" hidden="false" customHeight="true" outlineLevel="0" collapsed="false">
      <c r="A79" s="33" t="n">
        <v>75</v>
      </c>
      <c r="B79" s="33" t="n">
        <v>7</v>
      </c>
      <c r="C79" s="10" t="n">
        <f aca="false">F78</f>
        <v>137971.968553371</v>
      </c>
      <c r="D79" s="34" t="n">
        <f aca="false">IF(C79&gt;0,C79*Paramètres!B21/12,0)</f>
        <v>402.418241613999</v>
      </c>
      <c r="E79" s="34" t="n">
        <f aca="false">IF(C79&gt;0,MIN(Paramètres!B23-D79,C79),0)</f>
        <v>647.308847935397</v>
      </c>
      <c r="F79" s="10" t="n">
        <f aca="false">MAX(C79-E79,0)</f>
        <v>137324.659705436</v>
      </c>
    </row>
    <row r="80" customFormat="false" ht="15" hidden="false" customHeight="true" outlineLevel="0" collapsed="false">
      <c r="A80" s="33" t="n">
        <v>76</v>
      </c>
      <c r="B80" s="33" t="n">
        <v>7</v>
      </c>
      <c r="C80" s="10" t="n">
        <f aca="false">F79</f>
        <v>137324.659705436</v>
      </c>
      <c r="D80" s="34" t="n">
        <f aca="false">IF(C80&gt;0,C80*Paramètres!B21/12,0)</f>
        <v>400.530257474187</v>
      </c>
      <c r="E80" s="34" t="n">
        <f aca="false">IF(C80&gt;0,MIN(Paramètres!B23-D80,C80),0)</f>
        <v>649.196832075209</v>
      </c>
      <c r="F80" s="10" t="n">
        <f aca="false">MAX(C80-E80,0)</f>
        <v>136675.46287336</v>
      </c>
    </row>
    <row r="81" customFormat="false" ht="15" hidden="false" customHeight="true" outlineLevel="0" collapsed="false">
      <c r="A81" s="33" t="n">
        <v>77</v>
      </c>
      <c r="B81" s="33" t="n">
        <v>7</v>
      </c>
      <c r="C81" s="10" t="n">
        <f aca="false">F80</f>
        <v>136675.46287336</v>
      </c>
      <c r="D81" s="34" t="n">
        <f aca="false">IF(C81&gt;0,C81*Paramètres!B21/12,0)</f>
        <v>398.636766713968</v>
      </c>
      <c r="E81" s="34" t="n">
        <f aca="false">IF(C81&gt;0,MIN(Paramètres!B23-D81,C81),0)</f>
        <v>651.090322835428</v>
      </c>
      <c r="F81" s="10" t="n">
        <f aca="false">MAX(C81-E81,0)</f>
        <v>136024.372550525</v>
      </c>
    </row>
    <row r="82" customFormat="false" ht="15" hidden="false" customHeight="true" outlineLevel="0" collapsed="false">
      <c r="A82" s="33" t="n">
        <v>78</v>
      </c>
      <c r="B82" s="33" t="n">
        <v>7</v>
      </c>
      <c r="C82" s="10" t="n">
        <f aca="false">F81</f>
        <v>136024.372550525</v>
      </c>
      <c r="D82" s="34" t="n">
        <f aca="false">IF(C82&gt;0,C82*Paramètres!B21/12,0)</f>
        <v>396.737753272365</v>
      </c>
      <c r="E82" s="34" t="n">
        <f aca="false">IF(C82&gt;0,MIN(Paramètres!B23-D82,C82),0)</f>
        <v>652.989336277032</v>
      </c>
      <c r="F82" s="10" t="n">
        <f aca="false">MAX(C82-E82,0)</f>
        <v>135371.383214248</v>
      </c>
    </row>
    <row r="83" customFormat="false" ht="15" hidden="false" customHeight="true" outlineLevel="0" collapsed="false">
      <c r="A83" s="33" t="n">
        <v>79</v>
      </c>
      <c r="B83" s="33" t="n">
        <v>7</v>
      </c>
      <c r="C83" s="10" t="n">
        <f aca="false">F82</f>
        <v>135371.383214248</v>
      </c>
      <c r="D83" s="34" t="n">
        <f aca="false">IF(C83&gt;0,C83*Paramètres!B21/12,0)</f>
        <v>394.833201041557</v>
      </c>
      <c r="E83" s="34" t="n">
        <f aca="false">IF(C83&gt;0,MIN(Paramètres!B23-D83,C83),0)</f>
        <v>654.89388850784</v>
      </c>
      <c r="F83" s="10" t="n">
        <f aca="false">MAX(C83-E83,0)</f>
        <v>134716.48932574</v>
      </c>
    </row>
    <row r="84" customFormat="false" ht="15" hidden="false" customHeight="true" outlineLevel="0" collapsed="false">
      <c r="A84" s="33" t="n">
        <v>80</v>
      </c>
      <c r="B84" s="33" t="n">
        <v>7</v>
      </c>
      <c r="C84" s="10" t="n">
        <f aca="false">F83</f>
        <v>134716.48932574</v>
      </c>
      <c r="D84" s="34" t="n">
        <f aca="false">IF(C84&gt;0,C84*Paramètres!B21/12,0)</f>
        <v>392.923093866742</v>
      </c>
      <c r="E84" s="34" t="n">
        <f aca="false">IF(C84&gt;0,MIN(Paramètres!B23-D84,C84),0)</f>
        <v>656.803995682654</v>
      </c>
      <c r="F84" s="10" t="n">
        <f aca="false">MAX(C84-E84,0)</f>
        <v>134059.685330057</v>
      </c>
    </row>
    <row r="85" customFormat="false" ht="15" hidden="false" customHeight="true" outlineLevel="0" collapsed="false">
      <c r="A85" s="33" t="n">
        <v>81</v>
      </c>
      <c r="B85" s="33" t="n">
        <v>7</v>
      </c>
      <c r="C85" s="10" t="n">
        <f aca="false">F84</f>
        <v>134059.685330057</v>
      </c>
      <c r="D85" s="34" t="n">
        <f aca="false">IF(C85&gt;0,C85*Paramètres!B21/12,0)</f>
        <v>391.007415546001</v>
      </c>
      <c r="E85" s="34" t="n">
        <f aca="false">IF(C85&gt;0,MIN(Paramètres!B23-D85,C85),0)</f>
        <v>658.719674003395</v>
      </c>
      <c r="F85" s="10" t="n">
        <f aca="false">MAX(C85-E85,0)</f>
        <v>133400.965656054</v>
      </c>
    </row>
    <row r="86" customFormat="false" ht="15" hidden="false" customHeight="true" outlineLevel="0" collapsed="false">
      <c r="A86" s="33" t="n">
        <v>82</v>
      </c>
      <c r="B86" s="33" t="n">
        <v>7</v>
      </c>
      <c r="C86" s="10" t="n">
        <f aca="false">F85</f>
        <v>133400.965656054</v>
      </c>
      <c r="D86" s="34" t="n">
        <f aca="false">IF(C86&gt;0,C86*Paramètres!B21/12,0)</f>
        <v>389.086149830158</v>
      </c>
      <c r="E86" s="34" t="n">
        <f aca="false">IF(C86&gt;0,MIN(Paramètres!B23-D86,C86),0)</f>
        <v>660.640939719239</v>
      </c>
      <c r="F86" s="10" t="n">
        <f aca="false">MAX(C86-E86,0)</f>
        <v>132740.324716335</v>
      </c>
    </row>
    <row r="87" customFormat="false" ht="15" hidden="false" customHeight="true" outlineLevel="0" collapsed="false">
      <c r="A87" s="33" t="n">
        <v>83</v>
      </c>
      <c r="B87" s="33" t="n">
        <v>7</v>
      </c>
      <c r="C87" s="10" t="n">
        <f aca="false">F86</f>
        <v>132740.324716335</v>
      </c>
      <c r="D87" s="34" t="n">
        <f aca="false">IF(C87&gt;0,C87*Paramètres!B21/12,0)</f>
        <v>387.159280422643</v>
      </c>
      <c r="E87" s="34" t="n">
        <f aca="false">IF(C87&gt;0,MIN(Paramètres!B23-D87,C87),0)</f>
        <v>662.567809126753</v>
      </c>
      <c r="F87" s="10" t="n">
        <f aca="false">MAX(C87-E87,0)</f>
        <v>132077.756907208</v>
      </c>
    </row>
    <row r="88" customFormat="false" ht="15" hidden="false" customHeight="true" outlineLevel="0" collapsed="false">
      <c r="A88" s="33" t="n">
        <v>84</v>
      </c>
      <c r="B88" s="33" t="n">
        <v>7</v>
      </c>
      <c r="C88" s="10" t="n">
        <f aca="false">F87</f>
        <v>132077.756907208</v>
      </c>
      <c r="D88" s="34" t="n">
        <f aca="false">IF(C88&gt;0,C88*Paramètres!B21/12,0)</f>
        <v>385.226790979357</v>
      </c>
      <c r="E88" s="34" t="n">
        <f aca="false">IF(C88&gt;0,MIN(Paramètres!B23-D88,C88),0)</f>
        <v>664.500298570039</v>
      </c>
      <c r="F88" s="10" t="n">
        <f aca="false">MAX(C88-E88,0)</f>
        <v>131413.256608638</v>
      </c>
    </row>
    <row r="89" customFormat="false" ht="15" hidden="false" customHeight="true" outlineLevel="0" collapsed="false">
      <c r="A89" s="33" t="n">
        <v>85</v>
      </c>
      <c r="B89" s="33" t="n">
        <v>8</v>
      </c>
      <c r="C89" s="35" t="n">
        <f aca="false">F88</f>
        <v>131413.256608638</v>
      </c>
      <c r="D89" s="36" t="n">
        <f aca="false">IF(C89&gt;0,C89*Paramètres!B21/12,0)</f>
        <v>383.288665108528</v>
      </c>
      <c r="E89" s="36" t="n">
        <f aca="false">IF(C89&gt;0,MIN(Paramètres!B23-D89,C89),0)</f>
        <v>666.438424440869</v>
      </c>
      <c r="F89" s="35" t="n">
        <f aca="false">MAX(C89-E89,0)</f>
        <v>130746.818184197</v>
      </c>
    </row>
    <row r="90" customFormat="false" ht="15" hidden="false" customHeight="true" outlineLevel="0" collapsed="false">
      <c r="A90" s="33" t="n">
        <v>86</v>
      </c>
      <c r="B90" s="33" t="n">
        <v>8</v>
      </c>
      <c r="C90" s="35" t="n">
        <f aca="false">F89</f>
        <v>130746.818184197</v>
      </c>
      <c r="D90" s="36" t="n">
        <f aca="false">IF(C90&gt;0,C90*Paramètres!B21/12,0)</f>
        <v>381.344886370575</v>
      </c>
      <c r="E90" s="36" t="n">
        <f aca="false">IF(C90&gt;0,MIN(Paramètres!B23-D90,C90),0)</f>
        <v>668.382203178821</v>
      </c>
      <c r="F90" s="35" t="n">
        <f aca="false">MAX(C90-E90,0)</f>
        <v>130078.435981018</v>
      </c>
    </row>
    <row r="91" customFormat="false" ht="15" hidden="false" customHeight="true" outlineLevel="0" collapsed="false">
      <c r="A91" s="33" t="n">
        <v>87</v>
      </c>
      <c r="B91" s="33" t="n">
        <v>8</v>
      </c>
      <c r="C91" s="35" t="n">
        <f aca="false">F90</f>
        <v>130078.435981018</v>
      </c>
      <c r="D91" s="36" t="n">
        <f aca="false">IF(C91&gt;0,C91*Paramètres!B21/12,0)</f>
        <v>379.39543827797</v>
      </c>
      <c r="E91" s="36" t="n">
        <f aca="false">IF(C91&gt;0,MIN(Paramètres!B23-D91,C91),0)</f>
        <v>670.331651271426</v>
      </c>
      <c r="F91" s="35" t="n">
        <f aca="false">MAX(C91-E91,0)</f>
        <v>129408.104329747</v>
      </c>
    </row>
    <row r="92" customFormat="false" ht="15" hidden="false" customHeight="true" outlineLevel="0" collapsed="false">
      <c r="A92" s="33" t="n">
        <v>88</v>
      </c>
      <c r="B92" s="33" t="n">
        <v>8</v>
      </c>
      <c r="C92" s="35" t="n">
        <f aca="false">F91</f>
        <v>129408.104329747</v>
      </c>
      <c r="D92" s="36" t="n">
        <f aca="false">IF(C92&gt;0,C92*Paramètres!B21/12,0)</f>
        <v>377.440304295095</v>
      </c>
      <c r="E92" s="36" t="n">
        <f aca="false">IF(C92&gt;0,MIN(Paramètres!B23-D92,C92),0)</f>
        <v>672.286785254301</v>
      </c>
      <c r="F92" s="35" t="n">
        <f aca="false">MAX(C92-E92,0)</f>
        <v>128735.817544493</v>
      </c>
    </row>
    <row r="93" customFormat="false" ht="15" hidden="false" customHeight="true" outlineLevel="0" collapsed="false">
      <c r="A93" s="33" t="n">
        <v>89</v>
      </c>
      <c r="B93" s="33" t="n">
        <v>8</v>
      </c>
      <c r="C93" s="35" t="n">
        <f aca="false">F92</f>
        <v>128735.817544493</v>
      </c>
      <c r="D93" s="36" t="n">
        <f aca="false">IF(C93&gt;0,C93*Paramètres!B21/12,0)</f>
        <v>375.479467838104</v>
      </c>
      <c r="E93" s="36" t="n">
        <f aca="false">IF(C93&gt;0,MIN(Paramètres!B23-D93,C93),0)</f>
        <v>674.247621711293</v>
      </c>
      <c r="F93" s="35" t="n">
        <f aca="false">MAX(C93-E93,0)</f>
        <v>128061.569922781</v>
      </c>
    </row>
    <row r="94" customFormat="false" ht="15" hidden="false" customHeight="true" outlineLevel="0" collapsed="false">
      <c r="A94" s="33" t="n">
        <v>90</v>
      </c>
      <c r="B94" s="33" t="n">
        <v>8</v>
      </c>
      <c r="C94" s="35" t="n">
        <f aca="false">F93</f>
        <v>128061.569922781</v>
      </c>
      <c r="D94" s="36" t="n">
        <f aca="false">IF(C94&gt;0,C94*Paramètres!B21/12,0)</f>
        <v>373.512912274779</v>
      </c>
      <c r="E94" s="36" t="n">
        <f aca="false">IF(C94&gt;0,MIN(Paramètres!B23-D94,C94),0)</f>
        <v>676.214177274617</v>
      </c>
      <c r="F94" s="35" t="n">
        <f aca="false">MAX(C94-E94,0)</f>
        <v>127385.355745507</v>
      </c>
    </row>
    <row r="95" customFormat="false" ht="15" hidden="false" customHeight="true" outlineLevel="0" collapsed="false">
      <c r="A95" s="33" t="n">
        <v>91</v>
      </c>
      <c r="B95" s="33" t="n">
        <v>8</v>
      </c>
      <c r="C95" s="35" t="n">
        <f aca="false">F94</f>
        <v>127385.355745507</v>
      </c>
      <c r="D95" s="36" t="n">
        <f aca="false">IF(C95&gt;0,C95*Paramètres!B21/12,0)</f>
        <v>371.540620924395</v>
      </c>
      <c r="E95" s="36" t="n">
        <f aca="false">IF(C95&gt;0,MIN(Paramètres!B23-D95,C95),0)</f>
        <v>678.186468625002</v>
      </c>
      <c r="F95" s="35" t="n">
        <f aca="false">MAX(C95-E95,0)</f>
        <v>126707.169276882</v>
      </c>
    </row>
    <row r="96" customFormat="false" ht="15" hidden="false" customHeight="true" outlineLevel="0" collapsed="false">
      <c r="A96" s="33" t="n">
        <v>92</v>
      </c>
      <c r="B96" s="33" t="n">
        <v>8</v>
      </c>
      <c r="C96" s="35" t="n">
        <f aca="false">F95</f>
        <v>126707.169276882</v>
      </c>
      <c r="D96" s="36" t="n">
        <f aca="false">IF(C96&gt;0,C96*Paramètres!B21/12,0)</f>
        <v>369.562577057572</v>
      </c>
      <c r="E96" s="36" t="n">
        <f aca="false">IF(C96&gt;0,MIN(Paramètres!B23-D96,C96),0)</f>
        <v>680.164512491824</v>
      </c>
      <c r="F96" s="35" t="n">
        <f aca="false">MAX(C96-E96,0)</f>
        <v>126027.00476439</v>
      </c>
    </row>
    <row r="97" customFormat="false" ht="15" hidden="false" customHeight="true" outlineLevel="0" collapsed="false">
      <c r="A97" s="33" t="n">
        <v>93</v>
      </c>
      <c r="B97" s="33" t="n">
        <v>8</v>
      </c>
      <c r="C97" s="35" t="n">
        <f aca="false">F96</f>
        <v>126027.00476439</v>
      </c>
      <c r="D97" s="36" t="n">
        <f aca="false">IF(C97&gt;0,C97*Paramètres!B21/12,0)</f>
        <v>367.578763896137</v>
      </c>
      <c r="E97" s="36" t="n">
        <f aca="false">IF(C97&gt;0,MIN(Paramètres!B23-D97,C97),0)</f>
        <v>682.148325653259</v>
      </c>
      <c r="F97" s="35" t="n">
        <f aca="false">MAX(C97-E97,0)</f>
        <v>125344.856438737</v>
      </c>
    </row>
    <row r="98" customFormat="false" ht="15" hidden="false" customHeight="true" outlineLevel="0" collapsed="false">
      <c r="A98" s="33" t="n">
        <v>94</v>
      </c>
      <c r="B98" s="33" t="n">
        <v>8</v>
      </c>
      <c r="C98" s="35" t="n">
        <f aca="false">F97</f>
        <v>125344.856438737</v>
      </c>
      <c r="D98" s="36" t="n">
        <f aca="false">IF(C98&gt;0,C98*Paramètres!B21/12,0)</f>
        <v>365.589164612982</v>
      </c>
      <c r="E98" s="36" t="n">
        <f aca="false">IF(C98&gt;0,MIN(Paramètres!B23-D98,C98),0)</f>
        <v>684.137924936414</v>
      </c>
      <c r="F98" s="35" t="n">
        <f aca="false">MAX(C98-E98,0)</f>
        <v>124660.7185138</v>
      </c>
    </row>
    <row r="99" customFormat="false" ht="15" hidden="false" customHeight="true" outlineLevel="0" collapsed="false">
      <c r="A99" s="33" t="n">
        <v>95</v>
      </c>
      <c r="B99" s="33" t="n">
        <v>8</v>
      </c>
      <c r="C99" s="35" t="n">
        <f aca="false">F98</f>
        <v>124660.7185138</v>
      </c>
      <c r="D99" s="36" t="n">
        <f aca="false">IF(C99&gt;0,C99*Paramètres!B21/12,0)</f>
        <v>363.593762331917</v>
      </c>
      <c r="E99" s="36" t="n">
        <f aca="false">IF(C99&gt;0,MIN(Paramètres!B23-D99,C99),0)</f>
        <v>686.133327217479</v>
      </c>
      <c r="F99" s="35" t="n">
        <f aca="false">MAX(C99-E99,0)</f>
        <v>123974.585186583</v>
      </c>
    </row>
    <row r="100" customFormat="false" ht="15" hidden="false" customHeight="true" outlineLevel="0" collapsed="false">
      <c r="A100" s="33" t="n">
        <v>96</v>
      </c>
      <c r="B100" s="33" t="n">
        <v>8</v>
      </c>
      <c r="C100" s="35" t="n">
        <f aca="false">F99</f>
        <v>123974.585186583</v>
      </c>
      <c r="D100" s="36" t="n">
        <f aca="false">IF(C100&gt;0,C100*Paramètres!B21/12,0)</f>
        <v>361.592540127533</v>
      </c>
      <c r="E100" s="36" t="n">
        <f aca="false">IF(C100&gt;0,MIN(Paramètres!B23-D100,C100),0)</f>
        <v>688.134549421863</v>
      </c>
      <c r="F100" s="35" t="n">
        <f aca="false">MAX(C100-E100,0)</f>
        <v>123286.450637161</v>
      </c>
    </row>
    <row r="101" customFormat="false" ht="15" hidden="false" customHeight="true" outlineLevel="0" collapsed="false">
      <c r="A101" s="33" t="n">
        <v>97</v>
      </c>
      <c r="B101" s="33" t="n">
        <v>9</v>
      </c>
      <c r="C101" s="10" t="n">
        <f aca="false">F100</f>
        <v>123286.450637161</v>
      </c>
      <c r="D101" s="34" t="n">
        <f aca="false">IF(C101&gt;0,C101*Paramètres!B21/12,0)</f>
        <v>359.585481025053</v>
      </c>
      <c r="E101" s="34" t="n">
        <f aca="false">IF(C101&gt;0,MIN(Paramètres!B23-D101,C101),0)</f>
        <v>690.141608524344</v>
      </c>
      <c r="F101" s="10" t="n">
        <f aca="false">MAX(C101-E101,0)</f>
        <v>122596.309028637</v>
      </c>
    </row>
    <row r="102" customFormat="false" ht="15" hidden="false" customHeight="true" outlineLevel="0" collapsed="false">
      <c r="A102" s="33" t="n">
        <v>98</v>
      </c>
      <c r="B102" s="33" t="n">
        <v>9</v>
      </c>
      <c r="C102" s="10" t="n">
        <f aca="false">F101</f>
        <v>122596.309028637</v>
      </c>
      <c r="D102" s="34" t="n">
        <f aca="false">IF(C102&gt;0,C102*Paramètres!B21/12,0)</f>
        <v>357.57256800019</v>
      </c>
      <c r="E102" s="34" t="n">
        <f aca="false">IF(C102&gt;0,MIN(Paramètres!B23-D102,C102),0)</f>
        <v>692.154521549206</v>
      </c>
      <c r="F102" s="10" t="n">
        <f aca="false">MAX(C102-E102,0)</f>
        <v>121904.154507087</v>
      </c>
    </row>
    <row r="103" customFormat="false" ht="15" hidden="false" customHeight="true" outlineLevel="0" collapsed="false">
      <c r="A103" s="33" t="n">
        <v>99</v>
      </c>
      <c r="B103" s="33" t="n">
        <v>9</v>
      </c>
      <c r="C103" s="10" t="n">
        <f aca="false">F102</f>
        <v>121904.154507087</v>
      </c>
      <c r="D103" s="34" t="n">
        <f aca="false">IF(C103&gt;0,C103*Paramètres!B21/12,0)</f>
        <v>355.553783979005</v>
      </c>
      <c r="E103" s="34" t="n">
        <f aca="false">IF(C103&gt;0,MIN(Paramètres!B23-D103,C103),0)</f>
        <v>694.173305570391</v>
      </c>
      <c r="F103" s="10" t="n">
        <f aca="false">MAX(C103-E103,0)</f>
        <v>121209.981201517</v>
      </c>
    </row>
    <row r="104" customFormat="false" ht="15" hidden="false" customHeight="true" outlineLevel="0" collapsed="false">
      <c r="A104" s="33" t="n">
        <v>100</v>
      </c>
      <c r="B104" s="33" t="n">
        <v>9</v>
      </c>
      <c r="C104" s="10" t="n">
        <f aca="false">F103</f>
        <v>121209.981201517</v>
      </c>
      <c r="D104" s="34" t="n">
        <f aca="false">IF(C104&gt;0,C104*Paramètres!B21/12,0)</f>
        <v>353.529111837758</v>
      </c>
      <c r="E104" s="34" t="n">
        <f aca="false">IF(C104&gt;0,MIN(Paramètres!B23-D104,C104),0)</f>
        <v>696.197977711639</v>
      </c>
      <c r="F104" s="10" t="n">
        <f aca="false">MAX(C104-E104,0)</f>
        <v>120513.783223805</v>
      </c>
    </row>
    <row r="105" customFormat="false" ht="15" hidden="false" customHeight="true" outlineLevel="0" collapsed="false">
      <c r="A105" s="33" t="n">
        <v>101</v>
      </c>
      <c r="B105" s="33" t="n">
        <v>9</v>
      </c>
      <c r="C105" s="10" t="n">
        <f aca="false">F104</f>
        <v>120513.783223805</v>
      </c>
      <c r="D105" s="34" t="n">
        <f aca="false">IF(C105&gt;0,C105*Paramètres!B21/12,0)</f>
        <v>351.498534402766</v>
      </c>
      <c r="E105" s="34" t="n">
        <f aca="false">IF(C105&gt;0,MIN(Paramètres!B23-D105,C105),0)</f>
        <v>698.228555146631</v>
      </c>
      <c r="F105" s="10" t="n">
        <f aca="false">MAX(C105-E105,0)</f>
        <v>119815.554668659</v>
      </c>
    </row>
    <row r="106" customFormat="false" ht="15" hidden="false" customHeight="true" outlineLevel="0" collapsed="false">
      <c r="A106" s="33" t="n">
        <v>102</v>
      </c>
      <c r="B106" s="33" t="n">
        <v>9</v>
      </c>
      <c r="C106" s="10" t="n">
        <f aca="false">F105</f>
        <v>119815.554668659</v>
      </c>
      <c r="D106" s="34" t="n">
        <f aca="false">IF(C106&gt;0,C106*Paramètres!B21/12,0)</f>
        <v>349.462034450255</v>
      </c>
      <c r="E106" s="34" t="n">
        <f aca="false">IF(C106&gt;0,MIN(Paramètres!B23-D106,C106),0)</f>
        <v>700.265055099142</v>
      </c>
      <c r="F106" s="10" t="n">
        <f aca="false">MAX(C106-E106,0)</f>
        <v>119115.28961356</v>
      </c>
    </row>
    <row r="107" customFormat="false" ht="15" hidden="false" customHeight="true" outlineLevel="0" collapsed="false">
      <c r="A107" s="33" t="n">
        <v>103</v>
      </c>
      <c r="B107" s="33" t="n">
        <v>9</v>
      </c>
      <c r="C107" s="10" t="n">
        <f aca="false">F106</f>
        <v>119115.28961356</v>
      </c>
      <c r="D107" s="34" t="n">
        <f aca="false">IF(C107&gt;0,C107*Paramètres!B21/12,0)</f>
        <v>347.419594706215</v>
      </c>
      <c r="E107" s="34" t="n">
        <f aca="false">IF(C107&gt;0,MIN(Paramètres!B23-D107,C107),0)</f>
        <v>702.307494843181</v>
      </c>
      <c r="F107" s="10" t="n">
        <f aca="false">MAX(C107-E107,0)</f>
        <v>118412.982118716</v>
      </c>
    </row>
    <row r="108" customFormat="false" ht="15" hidden="false" customHeight="true" outlineLevel="0" collapsed="false">
      <c r="A108" s="33" t="n">
        <v>104</v>
      </c>
      <c r="B108" s="33" t="n">
        <v>9</v>
      </c>
      <c r="C108" s="10" t="n">
        <f aca="false">F107</f>
        <v>118412.982118716</v>
      </c>
      <c r="D108" s="34" t="n">
        <f aca="false">IF(C108&gt;0,C108*Paramètres!B21/12,0)</f>
        <v>345.371197846256</v>
      </c>
      <c r="E108" s="34" t="n">
        <f aca="false">IF(C108&gt;0,MIN(Paramètres!B23-D108,C108),0)</f>
        <v>704.35589170314</v>
      </c>
      <c r="F108" s="10" t="n">
        <f aca="false">MAX(C108-E108,0)</f>
        <v>117708.626227013</v>
      </c>
    </row>
    <row r="109" customFormat="false" ht="15" hidden="false" customHeight="true" outlineLevel="0" collapsed="false">
      <c r="A109" s="33" t="n">
        <v>105</v>
      </c>
      <c r="B109" s="33" t="n">
        <v>9</v>
      </c>
      <c r="C109" s="10" t="n">
        <f aca="false">F108</f>
        <v>117708.626227013</v>
      </c>
      <c r="D109" s="34" t="n">
        <f aca="false">IF(C109&gt;0,C109*Paramètres!B21/12,0)</f>
        <v>343.316826495455</v>
      </c>
      <c r="E109" s="34" t="n">
        <f aca="false">IF(C109&gt;0,MIN(Paramètres!B23-D109,C109),0)</f>
        <v>706.410263053941</v>
      </c>
      <c r="F109" s="10" t="n">
        <f aca="false">MAX(C109-E109,0)</f>
        <v>117002.215963959</v>
      </c>
    </row>
    <row r="110" customFormat="false" ht="15" hidden="false" customHeight="true" outlineLevel="0" collapsed="false">
      <c r="A110" s="33" t="n">
        <v>106</v>
      </c>
      <c r="B110" s="33" t="n">
        <v>9</v>
      </c>
      <c r="C110" s="10" t="n">
        <f aca="false">F109</f>
        <v>117002.215963959</v>
      </c>
      <c r="D110" s="34" t="n">
        <f aca="false">IF(C110&gt;0,C110*Paramètres!B21/12,0)</f>
        <v>341.256463228215</v>
      </c>
      <c r="E110" s="34" t="n">
        <f aca="false">IF(C110&gt;0,MIN(Paramètres!B23-D110,C110),0)</f>
        <v>708.470626321182</v>
      </c>
      <c r="F110" s="10" t="n">
        <f aca="false">MAX(C110-E110,0)</f>
        <v>116293.745337638</v>
      </c>
    </row>
    <row r="111" customFormat="false" ht="15" hidden="false" customHeight="true" outlineLevel="0" collapsed="false">
      <c r="A111" s="33" t="n">
        <v>107</v>
      </c>
      <c r="B111" s="33" t="n">
        <v>9</v>
      </c>
      <c r="C111" s="10" t="n">
        <f aca="false">F110</f>
        <v>116293.745337638</v>
      </c>
      <c r="D111" s="34" t="n">
        <f aca="false">IF(C111&gt;0,C111*Paramètres!B21/12,0)</f>
        <v>339.190090568111</v>
      </c>
      <c r="E111" s="34" t="n">
        <f aca="false">IF(C111&gt;0,MIN(Paramètres!B23-D111,C111),0)</f>
        <v>710.536998981285</v>
      </c>
      <c r="F111" s="10" t="n">
        <f aca="false">MAX(C111-E111,0)</f>
        <v>115583.208338657</v>
      </c>
    </row>
    <row r="112" customFormat="false" ht="15" hidden="false" customHeight="true" outlineLevel="0" collapsed="false">
      <c r="A112" s="33" t="n">
        <v>108</v>
      </c>
      <c r="B112" s="33" t="n">
        <v>9</v>
      </c>
      <c r="C112" s="10" t="n">
        <f aca="false">F111</f>
        <v>115583.208338657</v>
      </c>
      <c r="D112" s="34" t="n">
        <f aca="false">IF(C112&gt;0,C112*Paramètres!B21/12,0)</f>
        <v>337.117690987749</v>
      </c>
      <c r="E112" s="34" t="n">
        <f aca="false">IF(C112&gt;0,MIN(Paramètres!B23-D112,C112),0)</f>
        <v>712.609398561647</v>
      </c>
      <c r="F112" s="10" t="n">
        <f aca="false">MAX(C112-E112,0)</f>
        <v>114870.598940095</v>
      </c>
    </row>
    <row r="113" customFormat="false" ht="15" hidden="false" customHeight="true" outlineLevel="0" collapsed="false">
      <c r="A113" s="33" t="n">
        <v>109</v>
      </c>
      <c r="B113" s="33" t="n">
        <v>10</v>
      </c>
      <c r="C113" s="35" t="n">
        <f aca="false">F112</f>
        <v>114870.598940095</v>
      </c>
      <c r="D113" s="36" t="n">
        <f aca="false">IF(C113&gt;0,C113*Paramètres!B21/12,0)</f>
        <v>335.039246908611</v>
      </c>
      <c r="E113" s="36" t="n">
        <f aca="false">IF(C113&gt;0,MIN(Paramètres!B23-D113,C113),0)</f>
        <v>714.687842640785</v>
      </c>
      <c r="F113" s="35" t="n">
        <f aca="false">MAX(C113-E113,0)</f>
        <v>114155.911097454</v>
      </c>
    </row>
    <row r="114" customFormat="false" ht="15" hidden="false" customHeight="true" outlineLevel="0" collapsed="false">
      <c r="A114" s="33" t="n">
        <v>110</v>
      </c>
      <c r="B114" s="33" t="n">
        <v>10</v>
      </c>
      <c r="C114" s="35" t="n">
        <f aca="false">F113</f>
        <v>114155.911097454</v>
      </c>
      <c r="D114" s="36" t="n">
        <f aca="false">IF(C114&gt;0,C114*Paramètres!B21/12,0)</f>
        <v>332.954740700909</v>
      </c>
      <c r="E114" s="36" t="n">
        <f aca="false">IF(C114&gt;0,MIN(Paramètres!B23-D114,C114),0)</f>
        <v>716.772348848488</v>
      </c>
      <c r="F114" s="35" t="n">
        <f aca="false">MAX(C114-E114,0)</f>
        <v>113439.138748606</v>
      </c>
    </row>
    <row r="115" customFormat="false" ht="15" hidden="false" customHeight="true" outlineLevel="0" collapsed="false">
      <c r="A115" s="33" t="n">
        <v>111</v>
      </c>
      <c r="B115" s="33" t="n">
        <v>10</v>
      </c>
      <c r="C115" s="35" t="n">
        <f aca="false">F114</f>
        <v>113439.138748606</v>
      </c>
      <c r="D115" s="36" t="n">
        <f aca="false">IF(C115&gt;0,C115*Paramètres!B21/12,0)</f>
        <v>330.864154683434</v>
      </c>
      <c r="E115" s="36" t="n">
        <f aca="false">IF(C115&gt;0,MIN(Paramètres!B23-D115,C115),0)</f>
        <v>718.862934865962</v>
      </c>
      <c r="F115" s="35" t="n">
        <f aca="false">MAX(C115-E115,0)</f>
        <v>112720.27581374</v>
      </c>
    </row>
    <row r="116" customFormat="false" ht="15" hidden="false" customHeight="true" outlineLevel="0" collapsed="false">
      <c r="A116" s="33" t="n">
        <v>112</v>
      </c>
      <c r="B116" s="33" t="n">
        <v>10</v>
      </c>
      <c r="C116" s="35" t="n">
        <f aca="false">F115</f>
        <v>112720.27581374</v>
      </c>
      <c r="D116" s="36" t="n">
        <f aca="false">IF(C116&gt;0,C116*Paramètres!B21/12,0)</f>
        <v>328.767471123408</v>
      </c>
      <c r="E116" s="36" t="n">
        <f aca="false">IF(C116&gt;0,MIN(Paramètres!B23-D116,C116),0)</f>
        <v>720.959618425988</v>
      </c>
      <c r="F116" s="35" t="n">
        <f aca="false">MAX(C116-E116,0)</f>
        <v>111999.316195314</v>
      </c>
    </row>
    <row r="117" customFormat="false" ht="15" hidden="false" customHeight="true" outlineLevel="0" collapsed="false">
      <c r="A117" s="33" t="n">
        <v>113</v>
      </c>
      <c r="B117" s="33" t="n">
        <v>10</v>
      </c>
      <c r="C117" s="35" t="n">
        <f aca="false">F116</f>
        <v>111999.316195314</v>
      </c>
      <c r="D117" s="36" t="n">
        <f aca="false">IF(C117&gt;0,C117*Paramètres!B21/12,0)</f>
        <v>326.664672236332</v>
      </c>
      <c r="E117" s="36" t="n">
        <f aca="false">IF(C117&gt;0,MIN(Paramètres!B23-D117,C117),0)</f>
        <v>723.062417313064</v>
      </c>
      <c r="F117" s="35" t="n">
        <f aca="false">MAX(C117-E117,0)</f>
        <v>111276.253778001</v>
      </c>
    </row>
    <row r="118" customFormat="false" ht="15" hidden="false" customHeight="true" outlineLevel="0" collapsed="false">
      <c r="A118" s="33" t="n">
        <v>114</v>
      </c>
      <c r="B118" s="33" t="n">
        <v>10</v>
      </c>
      <c r="C118" s="35" t="n">
        <f aca="false">F117</f>
        <v>111276.253778001</v>
      </c>
      <c r="D118" s="36" t="n">
        <f aca="false">IF(C118&gt;0,C118*Paramètres!B21/12,0)</f>
        <v>324.555740185836</v>
      </c>
      <c r="E118" s="36" t="n">
        <f aca="false">IF(C118&gt;0,MIN(Paramètres!B23-D118,C118),0)</f>
        <v>725.17134936356</v>
      </c>
      <c r="F118" s="35" t="n">
        <f aca="false">MAX(C118-E118,0)</f>
        <v>110551.082428637</v>
      </c>
    </row>
    <row r="119" customFormat="false" ht="15" hidden="false" customHeight="true" outlineLevel="0" collapsed="false">
      <c r="A119" s="33" t="n">
        <v>115</v>
      </c>
      <c r="B119" s="33" t="n">
        <v>10</v>
      </c>
      <c r="C119" s="35" t="n">
        <f aca="false">F118</f>
        <v>110551.082428637</v>
      </c>
      <c r="D119" s="36" t="n">
        <f aca="false">IF(C119&gt;0,C119*Paramètres!B21/12,0)</f>
        <v>322.440657083526</v>
      </c>
      <c r="E119" s="36" t="n">
        <f aca="false">IF(C119&gt;0,MIN(Paramètres!B23-D119,C119),0)</f>
        <v>727.286432465871</v>
      </c>
      <c r="F119" s="35" t="n">
        <f aca="false">MAX(C119-E119,0)</f>
        <v>109823.795996171</v>
      </c>
    </row>
    <row r="120" customFormat="false" ht="15" hidden="false" customHeight="true" outlineLevel="0" collapsed="false">
      <c r="A120" s="33" t="n">
        <v>116</v>
      </c>
      <c r="B120" s="33" t="n">
        <v>10</v>
      </c>
      <c r="C120" s="35" t="n">
        <f aca="false">F119</f>
        <v>109823.795996171</v>
      </c>
      <c r="D120" s="36" t="n">
        <f aca="false">IF(C120&gt;0,C120*Paramètres!B21/12,0)</f>
        <v>320.319404988833</v>
      </c>
      <c r="E120" s="36" t="n">
        <f aca="false">IF(C120&gt;0,MIN(Paramètres!B23-D120,C120),0)</f>
        <v>729.407684560563</v>
      </c>
      <c r="F120" s="35" t="n">
        <f aca="false">MAX(C120-E120,0)</f>
        <v>109094.388311611</v>
      </c>
    </row>
    <row r="121" customFormat="false" ht="15" hidden="false" customHeight="true" outlineLevel="0" collapsed="false">
      <c r="A121" s="33" t="n">
        <v>117</v>
      </c>
      <c r="B121" s="33" t="n">
        <v>10</v>
      </c>
      <c r="C121" s="35" t="n">
        <f aca="false">F120</f>
        <v>109094.388311611</v>
      </c>
      <c r="D121" s="36" t="n">
        <f aca="false">IF(C121&gt;0,C121*Paramètres!B21/12,0)</f>
        <v>318.191965908865</v>
      </c>
      <c r="E121" s="36" t="n">
        <f aca="false">IF(C121&gt;0,MIN(Paramètres!B23-D121,C121),0)</f>
        <v>731.535123640531</v>
      </c>
      <c r="F121" s="35" t="n">
        <f aca="false">MAX(C121-E121,0)</f>
        <v>108362.85318797</v>
      </c>
    </row>
    <row r="122" customFormat="false" ht="15" hidden="false" customHeight="true" outlineLevel="0" collapsed="false">
      <c r="A122" s="33" t="n">
        <v>118</v>
      </c>
      <c r="B122" s="33" t="n">
        <v>10</v>
      </c>
      <c r="C122" s="35" t="n">
        <f aca="false">F121</f>
        <v>108362.85318797</v>
      </c>
      <c r="D122" s="36" t="n">
        <f aca="false">IF(C122&gt;0,C122*Paramètres!B21/12,0)</f>
        <v>316.058321798247</v>
      </c>
      <c r="E122" s="36" t="n">
        <f aca="false">IF(C122&gt;0,MIN(Paramètres!B23-D122,C122),0)</f>
        <v>733.668767751149</v>
      </c>
      <c r="F122" s="35" t="n">
        <f aca="false">MAX(C122-E122,0)</f>
        <v>107629.184420219</v>
      </c>
    </row>
    <row r="123" customFormat="false" ht="15" hidden="false" customHeight="true" outlineLevel="0" collapsed="false">
      <c r="A123" s="33" t="n">
        <v>119</v>
      </c>
      <c r="B123" s="33" t="n">
        <v>10</v>
      </c>
      <c r="C123" s="35" t="n">
        <f aca="false">F122</f>
        <v>107629.184420219</v>
      </c>
      <c r="D123" s="36" t="n">
        <f aca="false">IF(C123&gt;0,C123*Paramètres!B21/12,0)</f>
        <v>313.918454558973</v>
      </c>
      <c r="E123" s="36" t="n">
        <f aca="false">IF(C123&gt;0,MIN(Paramètres!B23-D123,C123),0)</f>
        <v>735.808634990423</v>
      </c>
      <c r="F123" s="35" t="n">
        <f aca="false">MAX(C123-E123,0)</f>
        <v>106893.375785229</v>
      </c>
    </row>
    <row r="124" customFormat="false" ht="15" hidden="false" customHeight="true" outlineLevel="0" collapsed="false">
      <c r="A124" s="33" t="n">
        <v>120</v>
      </c>
      <c r="B124" s="33" t="n">
        <v>10</v>
      </c>
      <c r="C124" s="35" t="n">
        <f aca="false">F123</f>
        <v>106893.375785229</v>
      </c>
      <c r="D124" s="36" t="n">
        <f aca="false">IF(C124&gt;0,C124*Paramètres!B21/12,0)</f>
        <v>311.772346040251</v>
      </c>
      <c r="E124" s="36" t="n">
        <f aca="false">IF(C124&gt;0,MIN(Paramètres!B23-D124,C124),0)</f>
        <v>737.954743509146</v>
      </c>
      <c r="F124" s="35" t="n">
        <f aca="false">MAX(C124-E124,0)</f>
        <v>106155.42104172</v>
      </c>
    </row>
    <row r="125" customFormat="false" ht="15" hidden="false" customHeight="true" outlineLevel="0" collapsed="false">
      <c r="A125" s="33" t="n">
        <v>121</v>
      </c>
      <c r="B125" s="33" t="n">
        <v>11</v>
      </c>
      <c r="C125" s="10" t="n">
        <f aca="false">F124</f>
        <v>106155.42104172</v>
      </c>
      <c r="D125" s="34" t="n">
        <f aca="false">IF(C125&gt;0,C125*Paramètres!B21/12,0)</f>
        <v>309.619978038349</v>
      </c>
      <c r="E125" s="34" t="n">
        <f aca="false">IF(C125&gt;0,MIN(Paramètres!B23-D125,C125),0)</f>
        <v>740.107111511047</v>
      </c>
      <c r="F125" s="10" t="n">
        <f aca="false">MAX(C125-E125,0)</f>
        <v>105415.313930209</v>
      </c>
    </row>
    <row r="126" customFormat="false" ht="15" hidden="false" customHeight="true" outlineLevel="0" collapsed="false">
      <c r="A126" s="33" t="n">
        <v>122</v>
      </c>
      <c r="B126" s="33" t="n">
        <v>11</v>
      </c>
      <c r="C126" s="10" t="n">
        <f aca="false">F125</f>
        <v>105415.313930209</v>
      </c>
      <c r="D126" s="34" t="n">
        <f aca="false">IF(C126&gt;0,C126*Paramètres!B21/12,0)</f>
        <v>307.461332296442</v>
      </c>
      <c r="E126" s="34" t="n">
        <f aca="false">IF(C126&gt;0,MIN(Paramètres!B23-D126,C126),0)</f>
        <v>742.265757252955</v>
      </c>
      <c r="F126" s="10" t="n">
        <f aca="false">MAX(C126-E126,0)</f>
        <v>104673.048172956</v>
      </c>
    </row>
    <row r="127" customFormat="false" ht="15" hidden="false" customHeight="true" outlineLevel="0" collapsed="false">
      <c r="A127" s="33" t="n">
        <v>123</v>
      </c>
      <c r="B127" s="33" t="n">
        <v>11</v>
      </c>
      <c r="C127" s="10" t="n">
        <f aca="false">F126</f>
        <v>104673.048172956</v>
      </c>
      <c r="D127" s="34" t="n">
        <f aca="false">IF(C127&gt;0,C127*Paramètres!B21/12,0)</f>
        <v>305.296390504454</v>
      </c>
      <c r="E127" s="34" t="n">
        <f aca="false">IF(C127&gt;0,MIN(Paramètres!B23-D127,C127),0)</f>
        <v>744.430699044942</v>
      </c>
      <c r="F127" s="10" t="n">
        <f aca="false">MAX(C127-E127,0)</f>
        <v>103928.617473911</v>
      </c>
    </row>
    <row r="128" customFormat="false" ht="15" hidden="false" customHeight="true" outlineLevel="0" collapsed="false">
      <c r="A128" s="33" t="n">
        <v>124</v>
      </c>
      <c r="B128" s="33" t="n">
        <v>11</v>
      </c>
      <c r="C128" s="10" t="n">
        <f aca="false">F127</f>
        <v>103928.617473911</v>
      </c>
      <c r="D128" s="34" t="n">
        <f aca="false">IF(C128&gt;0,C128*Paramètres!B21/12,0)</f>
        <v>303.125134298906</v>
      </c>
      <c r="E128" s="34" t="n">
        <f aca="false">IF(C128&gt;0,MIN(Paramètres!B23-D128,C128),0)</f>
        <v>746.60195525049</v>
      </c>
      <c r="F128" s="10" t="n">
        <f aca="false">MAX(C128-E128,0)</f>
        <v>103182.01551866</v>
      </c>
    </row>
    <row r="129" customFormat="false" ht="15" hidden="false" customHeight="true" outlineLevel="0" collapsed="false">
      <c r="A129" s="33" t="n">
        <v>125</v>
      </c>
      <c r="B129" s="33" t="n">
        <v>11</v>
      </c>
      <c r="C129" s="10" t="n">
        <f aca="false">F128</f>
        <v>103182.01551866</v>
      </c>
      <c r="D129" s="34" t="n">
        <f aca="false">IF(C129&gt;0,C129*Paramètres!B21/12,0)</f>
        <v>300.947545262759</v>
      </c>
      <c r="E129" s="34" t="n">
        <f aca="false">IF(C129&gt;0,MIN(Paramètres!B23-D129,C129),0)</f>
        <v>748.779544286637</v>
      </c>
      <c r="F129" s="10" t="n">
        <f aca="false">MAX(C129-E129,0)</f>
        <v>102433.235974374</v>
      </c>
    </row>
    <row r="130" customFormat="false" ht="15" hidden="false" customHeight="true" outlineLevel="0" collapsed="false">
      <c r="A130" s="33" t="n">
        <v>126</v>
      </c>
      <c r="B130" s="33" t="n">
        <v>11</v>
      </c>
      <c r="C130" s="10" t="n">
        <f aca="false">F129</f>
        <v>102433.235974374</v>
      </c>
      <c r="D130" s="34" t="n">
        <f aca="false">IF(C130&gt;0,C130*Paramètres!B21/12,0)</f>
        <v>298.763604925256</v>
      </c>
      <c r="E130" s="34" t="n">
        <f aca="false">IF(C130&gt;0,MIN(Paramètres!B23-D130,C130),0)</f>
        <v>750.96348462414</v>
      </c>
      <c r="F130" s="10" t="n">
        <f aca="false">MAX(C130-E130,0)</f>
        <v>101682.272489749</v>
      </c>
    </row>
    <row r="131" customFormat="false" ht="15" hidden="false" customHeight="true" outlineLevel="0" collapsed="false">
      <c r="A131" s="33" t="n">
        <v>127</v>
      </c>
      <c r="B131" s="33" t="n">
        <v>11</v>
      </c>
      <c r="C131" s="10" t="n">
        <f aca="false">F130</f>
        <v>101682.272489749</v>
      </c>
      <c r="D131" s="34" t="n">
        <f aca="false">IF(C131&gt;0,C131*Paramètres!B21/12,0)</f>
        <v>296.573294761769</v>
      </c>
      <c r="E131" s="34" t="n">
        <f aca="false">IF(C131&gt;0,MIN(Paramètres!B23-D131,C131),0)</f>
        <v>753.153794787627</v>
      </c>
      <c r="F131" s="10" t="n">
        <f aca="false">MAX(C131-E131,0)</f>
        <v>100929.118694962</v>
      </c>
    </row>
    <row r="132" customFormat="false" ht="15" hidden="false" customHeight="true" outlineLevel="0" collapsed="false">
      <c r="A132" s="33" t="n">
        <v>128</v>
      </c>
      <c r="B132" s="33" t="n">
        <v>11</v>
      </c>
      <c r="C132" s="10" t="n">
        <f aca="false">F131</f>
        <v>100929.118694962</v>
      </c>
      <c r="D132" s="34" t="n">
        <f aca="false">IF(C132&gt;0,C132*Paramètres!B21/12,0)</f>
        <v>294.376596193639</v>
      </c>
      <c r="E132" s="34" t="n">
        <f aca="false">IF(C132&gt;0,MIN(Paramètres!B23-D132,C132),0)</f>
        <v>755.350493355758</v>
      </c>
      <c r="F132" s="10" t="n">
        <f aca="false">MAX(C132-E132,0)</f>
        <v>100173.768201606</v>
      </c>
    </row>
    <row r="133" customFormat="false" ht="15" hidden="false" customHeight="true" outlineLevel="0" collapsed="false">
      <c r="A133" s="33" t="n">
        <v>129</v>
      </c>
      <c r="B133" s="33" t="n">
        <v>11</v>
      </c>
      <c r="C133" s="10" t="n">
        <f aca="false">F132</f>
        <v>100173.768201606</v>
      </c>
      <c r="D133" s="34" t="n">
        <f aca="false">IF(C133&gt;0,C133*Paramètres!B21/12,0)</f>
        <v>292.173490588018</v>
      </c>
      <c r="E133" s="34" t="n">
        <f aca="false">IF(C133&gt;0,MIN(Paramètres!B23-D133,C133),0)</f>
        <v>757.553598961378</v>
      </c>
      <c r="F133" s="10" t="n">
        <f aca="false">MAX(C133-E133,0)</f>
        <v>99416.2146026447</v>
      </c>
    </row>
    <row r="134" customFormat="false" ht="15" hidden="false" customHeight="true" outlineLevel="0" collapsed="false">
      <c r="A134" s="33" t="n">
        <v>130</v>
      </c>
      <c r="B134" s="33" t="n">
        <v>11</v>
      </c>
      <c r="C134" s="10" t="n">
        <f aca="false">F133</f>
        <v>99416.2146026447</v>
      </c>
      <c r="D134" s="34" t="n">
        <f aca="false">IF(C134&gt;0,C134*Paramètres!B21/12,0)</f>
        <v>289.963959257714</v>
      </c>
      <c r="E134" s="34" t="n">
        <f aca="false">IF(C134&gt;0,MIN(Paramètres!B23-D134,C134),0)</f>
        <v>759.763130291683</v>
      </c>
      <c r="F134" s="10" t="n">
        <f aca="false">MAX(C134-E134,0)</f>
        <v>98656.451472353</v>
      </c>
    </row>
    <row r="135" customFormat="false" ht="15" hidden="false" customHeight="true" outlineLevel="0" collapsed="false">
      <c r="A135" s="33" t="n">
        <v>131</v>
      </c>
      <c r="B135" s="33" t="n">
        <v>11</v>
      </c>
      <c r="C135" s="10" t="n">
        <f aca="false">F134</f>
        <v>98656.451472353</v>
      </c>
      <c r="D135" s="34" t="n">
        <f aca="false">IF(C135&gt;0,C135*Paramètres!B21/12,0)</f>
        <v>287.74798346103</v>
      </c>
      <c r="E135" s="34" t="n">
        <f aca="false">IF(C135&gt;0,MIN(Paramètres!B23-D135,C135),0)</f>
        <v>761.979106088367</v>
      </c>
      <c r="F135" s="10" t="n">
        <f aca="false">MAX(C135-E135,0)</f>
        <v>97894.4723662646</v>
      </c>
    </row>
    <row r="136" customFormat="false" ht="15" hidden="false" customHeight="true" outlineLevel="0" collapsed="false">
      <c r="A136" s="33" t="n">
        <v>132</v>
      </c>
      <c r="B136" s="33" t="n">
        <v>11</v>
      </c>
      <c r="C136" s="10" t="n">
        <f aca="false">F135</f>
        <v>97894.4723662646</v>
      </c>
      <c r="D136" s="34" t="n">
        <f aca="false">IF(C136&gt;0,C136*Paramètres!B21/12,0)</f>
        <v>285.525544401605</v>
      </c>
      <c r="E136" s="34" t="n">
        <f aca="false">IF(C136&gt;0,MIN(Paramètres!B23-D136,C136),0)</f>
        <v>764.201545147791</v>
      </c>
      <c r="F136" s="10" t="n">
        <f aca="false">MAX(C136-E136,0)</f>
        <v>97130.2708211168</v>
      </c>
    </row>
    <row r="137" customFormat="false" ht="15" hidden="false" customHeight="true" outlineLevel="0" collapsed="false">
      <c r="A137" s="33" t="n">
        <v>133</v>
      </c>
      <c r="B137" s="33" t="n">
        <v>12</v>
      </c>
      <c r="C137" s="35" t="n">
        <f aca="false">F136</f>
        <v>97130.2708211168</v>
      </c>
      <c r="D137" s="36" t="n">
        <f aca="false">IF(C137&gt;0,C137*Paramètres!B21/12,0)</f>
        <v>283.296623228257</v>
      </c>
      <c r="E137" s="36" t="n">
        <f aca="false">IF(C137&gt;0,MIN(Paramètres!B23-D137,C137),0)</f>
        <v>766.430466321139</v>
      </c>
      <c r="F137" s="35" t="n">
        <f aca="false">MAX(C137-E137,0)</f>
        <v>96363.8403547957</v>
      </c>
    </row>
    <row r="138" customFormat="false" ht="15" hidden="false" customHeight="true" outlineLevel="0" collapsed="false">
      <c r="A138" s="33" t="n">
        <v>134</v>
      </c>
      <c r="B138" s="33" t="n">
        <v>12</v>
      </c>
      <c r="C138" s="35" t="n">
        <f aca="false">F137</f>
        <v>96363.8403547957</v>
      </c>
      <c r="D138" s="36" t="n">
        <f aca="false">IF(C138&gt;0,C138*Paramètres!B21/12,0)</f>
        <v>281.061201034821</v>
      </c>
      <c r="E138" s="36" t="n">
        <f aca="false">IF(C138&gt;0,MIN(Paramètres!B23-D138,C138),0)</f>
        <v>768.665888514575</v>
      </c>
      <c r="F138" s="35" t="n">
        <f aca="false">MAX(C138-E138,0)</f>
        <v>95595.1744662811</v>
      </c>
    </row>
    <row r="139" customFormat="false" ht="15" hidden="false" customHeight="true" outlineLevel="0" collapsed="false">
      <c r="A139" s="33" t="n">
        <v>135</v>
      </c>
      <c r="B139" s="33" t="n">
        <v>12</v>
      </c>
      <c r="C139" s="35" t="n">
        <f aca="false">F138</f>
        <v>95595.1744662811</v>
      </c>
      <c r="D139" s="36" t="n">
        <f aca="false">IF(C139&gt;0,C139*Paramètres!B21/12,0)</f>
        <v>278.819258859987</v>
      </c>
      <c r="E139" s="36" t="n">
        <f aca="false">IF(C139&gt;0,MIN(Paramètres!B23-D139,C139),0)</f>
        <v>770.90783068941</v>
      </c>
      <c r="F139" s="35" t="n">
        <f aca="false">MAX(C139-E139,0)</f>
        <v>94824.2666355917</v>
      </c>
    </row>
    <row r="140" customFormat="false" ht="15" hidden="false" customHeight="true" outlineLevel="0" collapsed="false">
      <c r="A140" s="33" t="n">
        <v>136</v>
      </c>
      <c r="B140" s="33" t="n">
        <v>12</v>
      </c>
      <c r="C140" s="35" t="n">
        <f aca="false">F139</f>
        <v>94824.2666355917</v>
      </c>
      <c r="D140" s="36" t="n">
        <f aca="false">IF(C140&gt;0,C140*Paramètres!B21/12,0)</f>
        <v>276.570777687143</v>
      </c>
      <c r="E140" s="36" t="n">
        <f aca="false">IF(C140&gt;0,MIN(Paramètres!B23-D140,C140),0)</f>
        <v>773.156311862254</v>
      </c>
      <c r="F140" s="35" t="n">
        <f aca="false">MAX(C140-E140,0)</f>
        <v>94051.1103237294</v>
      </c>
    </row>
    <row r="141" customFormat="false" ht="15" hidden="false" customHeight="true" outlineLevel="0" collapsed="false">
      <c r="A141" s="33" t="n">
        <v>137</v>
      </c>
      <c r="B141" s="33" t="n">
        <v>12</v>
      </c>
      <c r="C141" s="35" t="n">
        <f aca="false">F140</f>
        <v>94051.1103237294</v>
      </c>
      <c r="D141" s="36" t="n">
        <f aca="false">IF(C141&gt;0,C141*Paramètres!B21/12,0)</f>
        <v>274.315738444211</v>
      </c>
      <c r="E141" s="36" t="n">
        <f aca="false">IF(C141&gt;0,MIN(Paramètres!B23-D141,C141),0)</f>
        <v>775.411351105185</v>
      </c>
      <c r="F141" s="35" t="n">
        <f aca="false">MAX(C141-E141,0)</f>
        <v>93275.6989726243</v>
      </c>
    </row>
    <row r="142" customFormat="false" ht="15" hidden="false" customHeight="true" outlineLevel="0" collapsed="false">
      <c r="A142" s="33" t="n">
        <v>138</v>
      </c>
      <c r="B142" s="33" t="n">
        <v>12</v>
      </c>
      <c r="C142" s="35" t="n">
        <f aca="false">F141</f>
        <v>93275.6989726243</v>
      </c>
      <c r="D142" s="36" t="n">
        <f aca="false">IF(C142&gt;0,C142*Paramètres!B21/12,0)</f>
        <v>272.054122003487</v>
      </c>
      <c r="E142" s="36" t="n">
        <f aca="false">IF(C142&gt;0,MIN(Paramètres!B23-D142,C142),0)</f>
        <v>777.672967545909</v>
      </c>
      <c r="F142" s="35" t="n">
        <f aca="false">MAX(C142-E142,0)</f>
        <v>92498.0260050784</v>
      </c>
    </row>
    <row r="143" customFormat="false" ht="15" hidden="false" customHeight="true" outlineLevel="0" collapsed="false">
      <c r="A143" s="33" t="n">
        <v>139</v>
      </c>
      <c r="B143" s="33" t="n">
        <v>12</v>
      </c>
      <c r="C143" s="35" t="n">
        <f aca="false">F142</f>
        <v>92498.0260050784</v>
      </c>
      <c r="D143" s="36" t="n">
        <f aca="false">IF(C143&gt;0,C143*Paramètres!B21/12,0)</f>
        <v>269.785909181479</v>
      </c>
      <c r="E143" s="36" t="n">
        <f aca="false">IF(C143&gt;0,MIN(Paramètres!B23-D143,C143),0)</f>
        <v>779.941180367918</v>
      </c>
      <c r="F143" s="35" t="n">
        <f aca="false">MAX(C143-E143,0)</f>
        <v>91718.0848247104</v>
      </c>
    </row>
    <row r="144" customFormat="false" ht="15" hidden="false" customHeight="true" outlineLevel="0" collapsed="false">
      <c r="A144" s="33" t="n">
        <v>140</v>
      </c>
      <c r="B144" s="33" t="n">
        <v>12</v>
      </c>
      <c r="C144" s="35" t="n">
        <f aca="false">F143</f>
        <v>91718.0848247104</v>
      </c>
      <c r="D144" s="36" t="n">
        <f aca="false">IF(C144&gt;0,C144*Paramètres!B21/12,0)</f>
        <v>267.511080738739</v>
      </c>
      <c r="E144" s="36" t="n">
        <f aca="false">IF(C144&gt;0,MIN(Paramètres!B23-D144,C144),0)</f>
        <v>782.216008810657</v>
      </c>
      <c r="F144" s="35" t="n">
        <f aca="false">MAX(C144-E144,0)</f>
        <v>90935.8688158998</v>
      </c>
    </row>
    <row r="145" customFormat="false" ht="15" hidden="false" customHeight="true" outlineLevel="0" collapsed="false">
      <c r="A145" s="33" t="n">
        <v>141</v>
      </c>
      <c r="B145" s="33" t="n">
        <v>12</v>
      </c>
      <c r="C145" s="35" t="n">
        <f aca="false">F144</f>
        <v>90935.8688158998</v>
      </c>
      <c r="D145" s="36" t="n">
        <f aca="false">IF(C145&gt;0,C145*Paramètres!B21/12,0)</f>
        <v>265.229617379708</v>
      </c>
      <c r="E145" s="36" t="n">
        <f aca="false">IF(C145&gt;0,MIN(Paramètres!B23-D145,C145),0)</f>
        <v>784.497472169689</v>
      </c>
      <c r="F145" s="35" t="n">
        <f aca="false">MAX(C145-E145,0)</f>
        <v>90151.3713437301</v>
      </c>
    </row>
    <row r="146" customFormat="false" ht="15" hidden="false" customHeight="true" outlineLevel="0" collapsed="false">
      <c r="A146" s="33" t="n">
        <v>142</v>
      </c>
      <c r="B146" s="33" t="n">
        <v>12</v>
      </c>
      <c r="C146" s="35" t="n">
        <f aca="false">F145</f>
        <v>90151.3713437301</v>
      </c>
      <c r="D146" s="36" t="n">
        <f aca="false">IF(C146&gt;0,C146*Paramètres!B21/12,0)</f>
        <v>262.941499752546</v>
      </c>
      <c r="E146" s="36" t="n">
        <f aca="false">IF(C146&gt;0,MIN(Paramètres!B23-D146,C146),0)</f>
        <v>786.78558979685</v>
      </c>
      <c r="F146" s="35" t="n">
        <f aca="false">MAX(C146-E146,0)</f>
        <v>89364.5857539332</v>
      </c>
    </row>
    <row r="147" customFormat="false" ht="15" hidden="false" customHeight="true" outlineLevel="0" collapsed="false">
      <c r="A147" s="33" t="n">
        <v>143</v>
      </c>
      <c r="B147" s="33" t="n">
        <v>12</v>
      </c>
      <c r="C147" s="35" t="n">
        <f aca="false">F146</f>
        <v>89364.5857539332</v>
      </c>
      <c r="D147" s="36" t="n">
        <f aca="false">IF(C147&gt;0,C147*Paramètres!B21/12,0)</f>
        <v>260.646708448972</v>
      </c>
      <c r="E147" s="36" t="n">
        <f aca="false">IF(C147&gt;0,MIN(Paramètres!B23-D147,C147),0)</f>
        <v>789.080381100424</v>
      </c>
      <c r="F147" s="35" t="n">
        <f aca="false">MAX(C147-E147,0)</f>
        <v>88575.5053728328</v>
      </c>
    </row>
    <row r="148" customFormat="false" ht="15" hidden="false" customHeight="true" outlineLevel="0" collapsed="false">
      <c r="A148" s="33" t="n">
        <v>144</v>
      </c>
      <c r="B148" s="33" t="n">
        <v>12</v>
      </c>
      <c r="C148" s="35" t="n">
        <f aca="false">F147</f>
        <v>88575.5053728328</v>
      </c>
      <c r="D148" s="36" t="n">
        <f aca="false">IF(C148&gt;0,C148*Paramètres!B21/12,0)</f>
        <v>258.345224004096</v>
      </c>
      <c r="E148" s="36" t="n">
        <f aca="false">IF(C148&gt;0,MIN(Paramètres!B23-D148,C148),0)</f>
        <v>791.381865545301</v>
      </c>
      <c r="F148" s="35" t="n">
        <f aca="false">MAX(C148-E148,0)</f>
        <v>87784.1235072875</v>
      </c>
    </row>
    <row r="149" customFormat="false" ht="15" hidden="false" customHeight="true" outlineLevel="0" collapsed="false">
      <c r="A149" s="33" t="n">
        <v>145</v>
      </c>
      <c r="B149" s="33" t="n">
        <v>13</v>
      </c>
      <c r="C149" s="10" t="n">
        <f aca="false">F148</f>
        <v>87784.1235072875</v>
      </c>
      <c r="D149" s="34" t="n">
        <f aca="false">IF(C149&gt;0,C149*Paramètres!B21/12,0)</f>
        <v>256.037026896255</v>
      </c>
      <c r="E149" s="34" t="n">
        <f aca="false">IF(C149&gt;0,MIN(Paramètres!B23-D149,C149),0)</f>
        <v>793.690062653141</v>
      </c>
      <c r="F149" s="10" t="n">
        <f aca="false">MAX(C149-E149,0)</f>
        <v>86990.4334446344</v>
      </c>
    </row>
    <row r="150" customFormat="false" ht="15" hidden="false" customHeight="true" outlineLevel="0" collapsed="false">
      <c r="A150" s="33" t="n">
        <v>146</v>
      </c>
      <c r="B150" s="33" t="n">
        <v>13</v>
      </c>
      <c r="C150" s="10" t="n">
        <f aca="false">F149</f>
        <v>86990.4334446344</v>
      </c>
      <c r="D150" s="34" t="n">
        <f aca="false">IF(C150&gt;0,C150*Paramètres!B21/12,0)</f>
        <v>253.72209754685</v>
      </c>
      <c r="E150" s="34" t="n">
        <f aca="false">IF(C150&gt;0,MIN(Paramètres!B23-D150,C150),0)</f>
        <v>796.004992002546</v>
      </c>
      <c r="F150" s="10" t="n">
        <f aca="false">MAX(C150-E150,0)</f>
        <v>86194.4284526318</v>
      </c>
    </row>
    <row r="151" customFormat="false" ht="15" hidden="false" customHeight="true" outlineLevel="0" collapsed="false">
      <c r="A151" s="33" t="n">
        <v>147</v>
      </c>
      <c r="B151" s="33" t="n">
        <v>13</v>
      </c>
      <c r="C151" s="10" t="n">
        <f aca="false">F150</f>
        <v>86194.4284526318</v>
      </c>
      <c r="D151" s="34" t="n">
        <f aca="false">IF(C151&gt;0,C151*Paramètres!B21/12,0)</f>
        <v>251.400416320176</v>
      </c>
      <c r="E151" s="34" t="n">
        <f aca="false">IF(C151&gt;0,MIN(Paramètres!B23-D151,C151),0)</f>
        <v>798.32667322922</v>
      </c>
      <c r="F151" s="10" t="n">
        <f aca="false">MAX(C151-E151,0)</f>
        <v>85396.1017794026</v>
      </c>
    </row>
    <row r="152" customFormat="false" ht="15" hidden="false" customHeight="true" outlineLevel="0" collapsed="false">
      <c r="A152" s="33" t="n">
        <v>148</v>
      </c>
      <c r="B152" s="33" t="n">
        <v>13</v>
      </c>
      <c r="C152" s="10" t="n">
        <f aca="false">F151</f>
        <v>85396.1017794026</v>
      </c>
      <c r="D152" s="34" t="n">
        <f aca="false">IF(C152&gt;0,C152*Paramètres!B21/12,0)</f>
        <v>249.071963523258</v>
      </c>
      <c r="E152" s="34" t="n">
        <f aca="false">IF(C152&gt;0,MIN(Paramètres!B23-D152,C152),0)</f>
        <v>800.655126026139</v>
      </c>
      <c r="F152" s="10" t="n">
        <f aca="false">MAX(C152-E152,0)</f>
        <v>84595.4466533765</v>
      </c>
    </row>
    <row r="153" customFormat="false" ht="15" hidden="false" customHeight="true" outlineLevel="0" collapsed="false">
      <c r="A153" s="33" t="n">
        <v>149</v>
      </c>
      <c r="B153" s="33" t="n">
        <v>13</v>
      </c>
      <c r="C153" s="10" t="n">
        <f aca="false">F152</f>
        <v>84595.4466533765</v>
      </c>
      <c r="D153" s="34" t="n">
        <f aca="false">IF(C153&gt;0,C153*Paramètres!B21/12,0)</f>
        <v>246.736719405681</v>
      </c>
      <c r="E153" s="34" t="n">
        <f aca="false">IF(C153&gt;0,MIN(Paramètres!B23-D153,C153),0)</f>
        <v>802.990370143715</v>
      </c>
      <c r="F153" s="10" t="n">
        <f aca="false">MAX(C153-E153,0)</f>
        <v>83792.4562832327</v>
      </c>
    </row>
    <row r="154" customFormat="false" ht="15" hidden="false" customHeight="true" outlineLevel="0" collapsed="false">
      <c r="A154" s="33" t="n">
        <v>150</v>
      </c>
      <c r="B154" s="33" t="n">
        <v>13</v>
      </c>
      <c r="C154" s="10" t="n">
        <f aca="false">F153</f>
        <v>83792.4562832327</v>
      </c>
      <c r="D154" s="34" t="n">
        <f aca="false">IF(C154&gt;0,C154*Paramètres!B21/12,0)</f>
        <v>244.394664159429</v>
      </c>
      <c r="E154" s="34" t="n">
        <f aca="false">IF(C154&gt;0,MIN(Paramètres!B23-D154,C154),0)</f>
        <v>805.332425389967</v>
      </c>
      <c r="F154" s="10" t="n">
        <f aca="false">MAX(C154-E154,0)</f>
        <v>82987.1238578428</v>
      </c>
    </row>
    <row r="155" customFormat="false" ht="15" hidden="false" customHeight="true" outlineLevel="0" collapsed="false">
      <c r="A155" s="33" t="n">
        <v>151</v>
      </c>
      <c r="B155" s="33" t="n">
        <v>13</v>
      </c>
      <c r="C155" s="10" t="n">
        <f aca="false">F154</f>
        <v>82987.1238578428</v>
      </c>
      <c r="D155" s="34" t="n">
        <f aca="false">IF(C155&gt;0,C155*Paramètres!B21/12,0)</f>
        <v>242.045777918708</v>
      </c>
      <c r="E155" s="34" t="n">
        <f aca="false">IF(C155&gt;0,MIN(Paramètres!B23-D155,C155),0)</f>
        <v>807.681311630688</v>
      </c>
      <c r="F155" s="10" t="n">
        <f aca="false">MAX(C155-E155,0)</f>
        <v>82179.4425462121</v>
      </c>
    </row>
    <row r="156" customFormat="false" ht="15" hidden="false" customHeight="true" outlineLevel="0" collapsed="false">
      <c r="A156" s="33" t="n">
        <v>152</v>
      </c>
      <c r="B156" s="33" t="n">
        <v>13</v>
      </c>
      <c r="C156" s="10" t="n">
        <f aca="false">F155</f>
        <v>82179.4425462121</v>
      </c>
      <c r="D156" s="34" t="n">
        <f aca="false">IF(C156&gt;0,C156*Paramètres!B21/12,0)</f>
        <v>239.690040759785</v>
      </c>
      <c r="E156" s="34" t="n">
        <f aca="false">IF(C156&gt;0,MIN(Paramètres!B23-D156,C156),0)</f>
        <v>810.037048789611</v>
      </c>
      <c r="F156" s="10" t="n">
        <f aca="false">MAX(C156-E156,0)</f>
        <v>81369.4054974225</v>
      </c>
    </row>
    <row r="157" customFormat="false" ht="15" hidden="false" customHeight="true" outlineLevel="0" collapsed="false">
      <c r="A157" s="33" t="n">
        <v>153</v>
      </c>
      <c r="B157" s="33" t="n">
        <v>13</v>
      </c>
      <c r="C157" s="10" t="n">
        <f aca="false">F156</f>
        <v>81369.4054974225</v>
      </c>
      <c r="D157" s="34" t="n">
        <f aca="false">IF(C157&gt;0,C157*Paramètres!B21/12,0)</f>
        <v>237.327432700816</v>
      </c>
      <c r="E157" s="34" t="n">
        <f aca="false">IF(C157&gt;0,MIN(Paramètres!B23-D157,C157),0)</f>
        <v>812.399656848581</v>
      </c>
      <c r="F157" s="10" t="n">
        <f aca="false">MAX(C157-E157,0)</f>
        <v>80557.0058405739</v>
      </c>
    </row>
    <row r="158" customFormat="false" ht="15" hidden="false" customHeight="true" outlineLevel="0" collapsed="false">
      <c r="A158" s="33" t="n">
        <v>154</v>
      </c>
      <c r="B158" s="33" t="n">
        <v>13</v>
      </c>
      <c r="C158" s="10" t="n">
        <f aca="false">F157</f>
        <v>80557.0058405739</v>
      </c>
      <c r="D158" s="34" t="n">
        <f aca="false">IF(C158&gt;0,C158*Paramètres!B21/12,0)</f>
        <v>234.957933701674</v>
      </c>
      <c r="E158" s="34" t="n">
        <f aca="false">IF(C158&gt;0,MIN(Paramètres!B23-D158,C158),0)</f>
        <v>814.769155847722</v>
      </c>
      <c r="F158" s="10" t="n">
        <f aca="false">MAX(C158-E158,0)</f>
        <v>79742.2366847262</v>
      </c>
    </row>
    <row r="159" customFormat="false" ht="15" hidden="false" customHeight="true" outlineLevel="0" collapsed="false">
      <c r="A159" s="33" t="n">
        <v>155</v>
      </c>
      <c r="B159" s="33" t="n">
        <v>13</v>
      </c>
      <c r="C159" s="10" t="n">
        <f aca="false">F158</f>
        <v>79742.2366847262</v>
      </c>
      <c r="D159" s="34" t="n">
        <f aca="false">IF(C159&gt;0,C159*Paramètres!B21/12,0)</f>
        <v>232.581523663785</v>
      </c>
      <c r="E159" s="34" t="n">
        <f aca="false">IF(C159&gt;0,MIN(Paramètres!B23-D159,C159),0)</f>
        <v>817.145565885612</v>
      </c>
      <c r="F159" s="10" t="n">
        <f aca="false">MAX(C159-E159,0)</f>
        <v>78925.0911188406</v>
      </c>
    </row>
    <row r="160" customFormat="false" ht="15" hidden="false" customHeight="true" outlineLevel="0" collapsed="false">
      <c r="A160" s="33" t="n">
        <v>156</v>
      </c>
      <c r="B160" s="33" t="n">
        <v>13</v>
      </c>
      <c r="C160" s="10" t="n">
        <f aca="false">F159</f>
        <v>78925.0911188406</v>
      </c>
      <c r="D160" s="34" t="n">
        <f aca="false">IF(C160&gt;0,C160*Paramètres!B21/12,0)</f>
        <v>230.198182429952</v>
      </c>
      <c r="E160" s="34" t="n">
        <f aca="false">IF(C160&gt;0,MIN(Paramètres!B23-D160,C160),0)</f>
        <v>819.528907119445</v>
      </c>
      <c r="F160" s="10" t="n">
        <f aca="false">MAX(C160-E160,0)</f>
        <v>78105.5622117211</v>
      </c>
    </row>
    <row r="161" customFormat="false" ht="15" hidden="false" customHeight="true" outlineLevel="0" collapsed="false">
      <c r="A161" s="33" t="n">
        <v>157</v>
      </c>
      <c r="B161" s="33" t="n">
        <v>14</v>
      </c>
      <c r="C161" s="35" t="n">
        <f aca="false">F160</f>
        <v>78105.5622117211</v>
      </c>
      <c r="D161" s="36" t="n">
        <f aca="false">IF(C161&gt;0,C161*Paramètres!B21/12,0)</f>
        <v>227.807889784187</v>
      </c>
      <c r="E161" s="36" t="n">
        <f aca="false">IF(C161&gt;0,MIN(Paramètres!B23-D161,C161),0)</f>
        <v>821.91919976521</v>
      </c>
      <c r="F161" s="35" t="n">
        <f aca="false">MAX(C161-E161,0)</f>
        <v>77283.6430119559</v>
      </c>
    </row>
    <row r="162" customFormat="false" ht="15" hidden="false" customHeight="true" outlineLevel="0" collapsed="false">
      <c r="A162" s="33" t="n">
        <v>158</v>
      </c>
      <c r="B162" s="33" t="n">
        <v>14</v>
      </c>
      <c r="C162" s="35" t="n">
        <f aca="false">F161</f>
        <v>77283.6430119559</v>
      </c>
      <c r="D162" s="36" t="n">
        <f aca="false">IF(C162&gt;0,C162*Paramètres!B21/12,0)</f>
        <v>225.410625451538</v>
      </c>
      <c r="E162" s="36" t="n">
        <f aca="false">IF(C162&gt;0,MIN(Paramètres!B23-D162,C162),0)</f>
        <v>824.316464097858</v>
      </c>
      <c r="F162" s="35" t="n">
        <f aca="false">MAX(C162-E162,0)</f>
        <v>76459.326547858</v>
      </c>
    </row>
    <row r="163" customFormat="false" ht="15" hidden="false" customHeight="true" outlineLevel="0" collapsed="false">
      <c r="A163" s="33" t="n">
        <v>159</v>
      </c>
      <c r="B163" s="33" t="n">
        <v>14</v>
      </c>
      <c r="C163" s="35" t="n">
        <f aca="false">F162</f>
        <v>76459.326547858</v>
      </c>
      <c r="D163" s="36" t="n">
        <f aca="false">IF(C163&gt;0,C163*Paramètres!B21/12,0)</f>
        <v>223.006369097919</v>
      </c>
      <c r="E163" s="36" t="n">
        <f aca="false">IF(C163&gt;0,MIN(Paramètres!B23-D163,C163),0)</f>
        <v>826.720720451477</v>
      </c>
      <c r="F163" s="35" t="n">
        <f aca="false">MAX(C163-E163,0)</f>
        <v>75632.6058274066</v>
      </c>
    </row>
    <row r="164" customFormat="false" ht="15" hidden="false" customHeight="true" outlineLevel="0" collapsed="false">
      <c r="A164" s="33" t="n">
        <v>160</v>
      </c>
      <c r="B164" s="33" t="n">
        <v>14</v>
      </c>
      <c r="C164" s="35" t="n">
        <f aca="false">F163</f>
        <v>75632.6058274066</v>
      </c>
      <c r="D164" s="36" t="n">
        <f aca="false">IF(C164&gt;0,C164*Paramètres!B21/12,0)</f>
        <v>220.595100329936</v>
      </c>
      <c r="E164" s="36" t="n">
        <f aca="false">IF(C164&gt;0,MIN(Paramètres!B23-D164,C164),0)</f>
        <v>829.13198921946</v>
      </c>
      <c r="F164" s="35" t="n">
        <f aca="false">MAX(C164-E164,0)</f>
        <v>74803.4738381871</v>
      </c>
    </row>
    <row r="165" customFormat="false" ht="15" hidden="false" customHeight="true" outlineLevel="0" collapsed="false">
      <c r="A165" s="33" t="n">
        <v>161</v>
      </c>
      <c r="B165" s="33" t="n">
        <v>14</v>
      </c>
      <c r="C165" s="35" t="n">
        <f aca="false">F164</f>
        <v>74803.4738381871</v>
      </c>
      <c r="D165" s="36" t="n">
        <f aca="false">IF(C165&gt;0,C165*Paramètres!B21/12,0)</f>
        <v>218.176798694712</v>
      </c>
      <c r="E165" s="36" t="n">
        <f aca="false">IF(C165&gt;0,MIN(Paramètres!B23-D165,C165),0)</f>
        <v>831.550290854684</v>
      </c>
      <c r="F165" s="35" t="n">
        <f aca="false">MAX(C165-E165,0)</f>
        <v>73971.9235473324</v>
      </c>
    </row>
    <row r="166" customFormat="false" ht="15" hidden="false" customHeight="true" outlineLevel="0" collapsed="false">
      <c r="A166" s="33" t="n">
        <v>162</v>
      </c>
      <c r="B166" s="33" t="n">
        <v>14</v>
      </c>
      <c r="C166" s="35" t="n">
        <f aca="false">F165</f>
        <v>73971.9235473324</v>
      </c>
      <c r="D166" s="36" t="n">
        <f aca="false">IF(C166&gt;0,C166*Paramètres!B21/12,0)</f>
        <v>215.75144367972</v>
      </c>
      <c r="E166" s="36" t="n">
        <f aca="false">IF(C166&gt;0,MIN(Paramètres!B23-D166,C166),0)</f>
        <v>833.975645869677</v>
      </c>
      <c r="F166" s="35" t="n">
        <f aca="false">MAX(C166-E166,0)</f>
        <v>73137.9479014628</v>
      </c>
    </row>
    <row r="167" customFormat="false" ht="15" hidden="false" customHeight="true" outlineLevel="0" collapsed="false">
      <c r="A167" s="33" t="n">
        <v>163</v>
      </c>
      <c r="B167" s="33" t="n">
        <v>14</v>
      </c>
      <c r="C167" s="35" t="n">
        <f aca="false">F166</f>
        <v>73137.9479014628</v>
      </c>
      <c r="D167" s="36" t="n">
        <f aca="false">IF(C167&gt;0,C167*Paramètres!B21/12,0)</f>
        <v>213.3190147126</v>
      </c>
      <c r="E167" s="36" t="n">
        <f aca="false">IF(C167&gt;0,MIN(Paramètres!B23-D167,C167),0)</f>
        <v>836.408074836797</v>
      </c>
      <c r="F167" s="35" t="n">
        <f aca="false">MAX(C167-E167,0)</f>
        <v>72301.539826626</v>
      </c>
    </row>
    <row r="168" customFormat="false" ht="15" hidden="false" customHeight="true" outlineLevel="0" collapsed="false">
      <c r="A168" s="33" t="n">
        <v>164</v>
      </c>
      <c r="B168" s="33" t="n">
        <v>14</v>
      </c>
      <c r="C168" s="35" t="n">
        <f aca="false">F167</f>
        <v>72301.539826626</v>
      </c>
      <c r="D168" s="36" t="n">
        <f aca="false">IF(C168&gt;0,C168*Paramètres!B21/12,0)</f>
        <v>210.879491160992</v>
      </c>
      <c r="E168" s="36" t="n">
        <f aca="false">IF(C168&gt;0,MIN(Paramètres!B23-D168,C168),0)</f>
        <v>838.847598388404</v>
      </c>
      <c r="F168" s="35" t="n">
        <f aca="false">MAX(C168-E168,0)</f>
        <v>71462.6922282376</v>
      </c>
    </row>
    <row r="169" customFormat="false" ht="15" hidden="false" customHeight="true" outlineLevel="0" collapsed="false">
      <c r="A169" s="33" t="n">
        <v>165</v>
      </c>
      <c r="B169" s="33" t="n">
        <v>14</v>
      </c>
      <c r="C169" s="35" t="n">
        <f aca="false">F168</f>
        <v>71462.6922282376</v>
      </c>
      <c r="D169" s="36" t="n">
        <f aca="false">IF(C169&gt;0,C169*Paramètres!B21/12,0)</f>
        <v>208.43285233236</v>
      </c>
      <c r="E169" s="36" t="n">
        <f aca="false">IF(C169&gt;0,MIN(Paramètres!B23-D169,C169),0)</f>
        <v>841.294237217037</v>
      </c>
      <c r="F169" s="35" t="n">
        <f aca="false">MAX(C169-E169,0)</f>
        <v>70621.3979910205</v>
      </c>
    </row>
    <row r="170" customFormat="false" ht="15" hidden="false" customHeight="true" outlineLevel="0" collapsed="false">
      <c r="A170" s="33" t="n">
        <v>166</v>
      </c>
      <c r="B170" s="33" t="n">
        <v>14</v>
      </c>
      <c r="C170" s="35" t="n">
        <f aca="false">F169</f>
        <v>70621.3979910205</v>
      </c>
      <c r="D170" s="36" t="n">
        <f aca="false">IF(C170&gt;0,C170*Paramètres!B21/12,0)</f>
        <v>205.97907747381</v>
      </c>
      <c r="E170" s="36" t="n">
        <f aca="false">IF(C170&gt;0,MIN(Paramètres!B23-D170,C170),0)</f>
        <v>843.748012075586</v>
      </c>
      <c r="F170" s="35" t="n">
        <f aca="false">MAX(C170-E170,0)</f>
        <v>69777.6499789449</v>
      </c>
    </row>
    <row r="171" customFormat="false" ht="15" hidden="false" customHeight="true" outlineLevel="0" collapsed="false">
      <c r="A171" s="33" t="n">
        <v>167</v>
      </c>
      <c r="B171" s="33" t="n">
        <v>14</v>
      </c>
      <c r="C171" s="35" t="n">
        <f aca="false">F170</f>
        <v>69777.6499789449</v>
      </c>
      <c r="D171" s="36" t="n">
        <f aca="false">IF(C171&gt;0,C171*Paramètres!B21/12,0)</f>
        <v>203.518145771923</v>
      </c>
      <c r="E171" s="36" t="n">
        <f aca="false">IF(C171&gt;0,MIN(Paramètres!B23-D171,C171),0)</f>
        <v>846.208943777474</v>
      </c>
      <c r="F171" s="35" t="n">
        <f aca="false">MAX(C171-E171,0)</f>
        <v>68931.4410351675</v>
      </c>
    </row>
    <row r="172" customFormat="false" ht="15" hidden="false" customHeight="true" outlineLevel="0" collapsed="false">
      <c r="A172" s="33" t="n">
        <v>168</v>
      </c>
      <c r="B172" s="33" t="n">
        <v>14</v>
      </c>
      <c r="C172" s="35" t="n">
        <f aca="false">F171</f>
        <v>68931.4410351675</v>
      </c>
      <c r="D172" s="36" t="n">
        <f aca="false">IF(C172&gt;0,C172*Paramètres!B21/12,0)</f>
        <v>201.050036352572</v>
      </c>
      <c r="E172" s="36" t="n">
        <f aca="false">IF(C172&gt;0,MIN(Paramètres!B23-D172,C172),0)</f>
        <v>848.677053196824</v>
      </c>
      <c r="F172" s="35" t="n">
        <f aca="false">MAX(C172-E172,0)</f>
        <v>68082.7639819707</v>
      </c>
    </row>
    <row r="173" customFormat="false" ht="15" hidden="false" customHeight="true" outlineLevel="0" collapsed="false">
      <c r="A173" s="33" t="n">
        <v>169</v>
      </c>
      <c r="B173" s="33" t="n">
        <v>15</v>
      </c>
      <c r="C173" s="10" t="n">
        <f aca="false">F172</f>
        <v>68082.7639819707</v>
      </c>
      <c r="D173" s="34" t="n">
        <f aca="false">IF(C173&gt;0,C173*Paramètres!B21/12,0)</f>
        <v>198.574728280748</v>
      </c>
      <c r="E173" s="34" t="n">
        <f aca="false">IF(C173&gt;0,MIN(Paramètres!B23-D173,C173),0)</f>
        <v>851.152361268648</v>
      </c>
      <c r="F173" s="10" t="n">
        <f aca="false">MAX(C173-E173,0)</f>
        <v>67231.611620702</v>
      </c>
    </row>
    <row r="174" customFormat="false" ht="15" hidden="false" customHeight="true" outlineLevel="0" collapsed="false">
      <c r="A174" s="33" t="n">
        <v>170</v>
      </c>
      <c r="B174" s="33" t="n">
        <v>15</v>
      </c>
      <c r="C174" s="10" t="n">
        <f aca="false">F173</f>
        <v>67231.611620702</v>
      </c>
      <c r="D174" s="34" t="n">
        <f aca="false">IF(C174&gt;0,C174*Paramètres!B21/12,0)</f>
        <v>196.092200560381</v>
      </c>
      <c r="E174" s="34" t="n">
        <f aca="false">IF(C174&gt;0,MIN(Paramètres!B23-D174,C174),0)</f>
        <v>853.634888989015</v>
      </c>
      <c r="F174" s="10" t="n">
        <f aca="false">MAX(C174-E174,0)</f>
        <v>66377.976731713</v>
      </c>
    </row>
    <row r="175" customFormat="false" ht="15" hidden="false" customHeight="true" outlineLevel="0" collapsed="false">
      <c r="A175" s="33" t="n">
        <v>171</v>
      </c>
      <c r="B175" s="33" t="n">
        <v>15</v>
      </c>
      <c r="C175" s="10" t="n">
        <f aca="false">F174</f>
        <v>66377.976731713</v>
      </c>
      <c r="D175" s="34" t="n">
        <f aca="false">IF(C175&gt;0,C175*Paramètres!B21/12,0)</f>
        <v>193.602432134163</v>
      </c>
      <c r="E175" s="34" t="n">
        <f aca="false">IF(C175&gt;0,MIN(Paramètres!B23-D175,C175),0)</f>
        <v>856.124657415233</v>
      </c>
      <c r="F175" s="10" t="n">
        <f aca="false">MAX(C175-E175,0)</f>
        <v>65521.8520742978</v>
      </c>
    </row>
    <row r="176" customFormat="false" ht="15" hidden="false" customHeight="true" outlineLevel="0" collapsed="false">
      <c r="A176" s="33" t="n">
        <v>172</v>
      </c>
      <c r="B176" s="33" t="n">
        <v>15</v>
      </c>
      <c r="C176" s="10" t="n">
        <f aca="false">F175</f>
        <v>65521.8520742978</v>
      </c>
      <c r="D176" s="34" t="n">
        <f aca="false">IF(C176&gt;0,C176*Paramètres!B21/12,0)</f>
        <v>191.105401883368</v>
      </c>
      <c r="E176" s="34" t="n">
        <f aca="false">IF(C176&gt;0,MIN(Paramètres!B23-D176,C176),0)</f>
        <v>858.621687666028</v>
      </c>
      <c r="F176" s="10" t="n">
        <f aca="false">MAX(C176-E176,0)</f>
        <v>64663.2303866317</v>
      </c>
    </row>
    <row r="177" customFormat="false" ht="15" hidden="false" customHeight="true" outlineLevel="0" collapsed="false">
      <c r="A177" s="33" t="n">
        <v>173</v>
      </c>
      <c r="B177" s="33" t="n">
        <v>15</v>
      </c>
      <c r="C177" s="10" t="n">
        <f aca="false">F176</f>
        <v>64663.2303866317</v>
      </c>
      <c r="D177" s="34" t="n">
        <f aca="false">IF(C177&gt;0,C177*Paramètres!B21/12,0)</f>
        <v>188.601088627676</v>
      </c>
      <c r="E177" s="34" t="n">
        <f aca="false">IF(C177&gt;0,MIN(Paramètres!B23-D177,C177),0)</f>
        <v>861.12600092172</v>
      </c>
      <c r="F177" s="10" t="n">
        <f aca="false">MAX(C177-E177,0)</f>
        <v>63802.10438571</v>
      </c>
    </row>
    <row r="178" customFormat="false" ht="15" hidden="false" customHeight="true" outlineLevel="0" collapsed="false">
      <c r="A178" s="33" t="n">
        <v>174</v>
      </c>
      <c r="B178" s="33" t="n">
        <v>15</v>
      </c>
      <c r="C178" s="10" t="n">
        <f aca="false">F177</f>
        <v>63802.10438571</v>
      </c>
      <c r="D178" s="34" t="n">
        <f aca="false">IF(C178&gt;0,C178*Paramètres!B21/12,0)</f>
        <v>186.089471124988</v>
      </c>
      <c r="E178" s="34" t="n">
        <f aca="false">IF(C178&gt;0,MIN(Paramètres!B23-D178,C178),0)</f>
        <v>863.637618424409</v>
      </c>
      <c r="F178" s="10" t="n">
        <f aca="false">MAX(C178-E178,0)</f>
        <v>62938.4667672856</v>
      </c>
    </row>
    <row r="179" customFormat="false" ht="15" hidden="false" customHeight="true" outlineLevel="0" collapsed="false">
      <c r="A179" s="33" t="n">
        <v>175</v>
      </c>
      <c r="B179" s="33" t="n">
        <v>15</v>
      </c>
      <c r="C179" s="10" t="n">
        <f aca="false">F178</f>
        <v>62938.4667672856</v>
      </c>
      <c r="D179" s="34" t="n">
        <f aca="false">IF(C179&gt;0,C179*Paramètres!B21/12,0)</f>
        <v>183.57052807125</v>
      </c>
      <c r="E179" s="34" t="n">
        <f aca="false">IF(C179&gt;0,MIN(Paramètres!B23-D179,C179),0)</f>
        <v>866.156561478147</v>
      </c>
      <c r="F179" s="10" t="n">
        <f aca="false">MAX(C179-E179,0)</f>
        <v>62072.3102058075</v>
      </c>
    </row>
    <row r="180" customFormat="false" ht="15" hidden="false" customHeight="true" outlineLevel="0" collapsed="false">
      <c r="A180" s="33" t="n">
        <v>176</v>
      </c>
      <c r="B180" s="33" t="n">
        <v>15</v>
      </c>
      <c r="C180" s="10" t="n">
        <f aca="false">F179</f>
        <v>62072.3102058075</v>
      </c>
      <c r="D180" s="34" t="n">
        <f aca="false">IF(C180&gt;0,C180*Paramètres!B21/12,0)</f>
        <v>181.044238100272</v>
      </c>
      <c r="E180" s="34" t="n">
        <f aca="false">IF(C180&gt;0,MIN(Paramètres!B23-D180,C180),0)</f>
        <v>868.682851449124</v>
      </c>
      <c r="F180" s="10" t="n">
        <f aca="false">MAX(C180-E180,0)</f>
        <v>61203.6273543583</v>
      </c>
    </row>
    <row r="181" customFormat="false" ht="15" hidden="false" customHeight="true" outlineLevel="0" collapsed="false">
      <c r="A181" s="33" t="n">
        <v>177</v>
      </c>
      <c r="B181" s="33" t="n">
        <v>15</v>
      </c>
      <c r="C181" s="10" t="n">
        <f aca="false">F180</f>
        <v>61203.6273543583</v>
      </c>
      <c r="D181" s="34" t="n">
        <f aca="false">IF(C181&gt;0,C181*Paramètres!B21/12,0)</f>
        <v>178.510579783545</v>
      </c>
      <c r="E181" s="34" t="n">
        <f aca="false">IF(C181&gt;0,MIN(Paramètres!B23-D181,C181),0)</f>
        <v>871.216509765851</v>
      </c>
      <c r="F181" s="10" t="n">
        <f aca="false">MAX(C181-E181,0)</f>
        <v>60332.4108445925</v>
      </c>
    </row>
    <row r="182" customFormat="false" ht="15" hidden="false" customHeight="true" outlineLevel="0" collapsed="false">
      <c r="A182" s="33" t="n">
        <v>178</v>
      </c>
      <c r="B182" s="33" t="n">
        <v>15</v>
      </c>
      <c r="C182" s="10" t="n">
        <f aca="false">F181</f>
        <v>60332.4108445925</v>
      </c>
      <c r="D182" s="34" t="n">
        <f aca="false">IF(C182&gt;0,C182*Paramètres!B21/12,0)</f>
        <v>175.969531630061</v>
      </c>
      <c r="E182" s="34" t="n">
        <f aca="false">IF(C182&gt;0,MIN(Paramètres!B23-D182,C182),0)</f>
        <v>873.757557919335</v>
      </c>
      <c r="F182" s="10" t="n">
        <f aca="false">MAX(C182-E182,0)</f>
        <v>59458.6532866732</v>
      </c>
    </row>
    <row r="183" customFormat="false" ht="15" hidden="false" customHeight="true" outlineLevel="0" collapsed="false">
      <c r="A183" s="33" t="n">
        <v>179</v>
      </c>
      <c r="B183" s="33" t="n">
        <v>15</v>
      </c>
      <c r="C183" s="10" t="n">
        <f aca="false">F182</f>
        <v>59458.6532866732</v>
      </c>
      <c r="D183" s="34" t="n">
        <f aca="false">IF(C183&gt;0,C183*Paramètres!B21/12,0)</f>
        <v>173.42107208613</v>
      </c>
      <c r="E183" s="34" t="n">
        <f aca="false">IF(C183&gt;0,MIN(Paramètres!B23-D183,C183),0)</f>
        <v>876.306017463266</v>
      </c>
      <c r="F183" s="10" t="n">
        <f aca="false">MAX(C183-E183,0)</f>
        <v>58582.3472692099</v>
      </c>
    </row>
    <row r="184" customFormat="false" ht="15" hidden="false" customHeight="true" outlineLevel="0" collapsed="false">
      <c r="A184" s="33" t="n">
        <v>180</v>
      </c>
      <c r="B184" s="33" t="n">
        <v>15</v>
      </c>
      <c r="C184" s="10" t="n">
        <f aca="false">F183</f>
        <v>58582.3472692099</v>
      </c>
      <c r="D184" s="34" t="n">
        <f aca="false">IF(C184&gt;0,C184*Paramètres!B21/12,0)</f>
        <v>170.865179535196</v>
      </c>
      <c r="E184" s="34" t="n">
        <f aca="false">IF(C184&gt;0,MIN(Paramètres!B23-D184,C184),0)</f>
        <v>878.861910014201</v>
      </c>
      <c r="F184" s="10" t="n">
        <f aca="false">MAX(C184-E184,0)</f>
        <v>57703.4853591957</v>
      </c>
    </row>
    <row r="185" customFormat="false" ht="15" hidden="false" customHeight="true" outlineLevel="0" collapsed="false">
      <c r="A185" s="33" t="n">
        <v>181</v>
      </c>
      <c r="B185" s="33" t="n">
        <v>16</v>
      </c>
      <c r="C185" s="35" t="n">
        <f aca="false">F184</f>
        <v>57703.4853591957</v>
      </c>
      <c r="D185" s="36" t="n">
        <f aca="false">IF(C185&gt;0,C185*Paramètres!B21/12,0)</f>
        <v>168.301832297654</v>
      </c>
      <c r="E185" s="36" t="n">
        <f aca="false">IF(C185&gt;0,MIN(Paramètres!B23-D185,C185),0)</f>
        <v>881.425257251742</v>
      </c>
      <c r="F185" s="35" t="n">
        <f aca="false">MAX(C185-E185,0)</f>
        <v>56822.0601019439</v>
      </c>
    </row>
    <row r="186" customFormat="false" ht="15" hidden="false" customHeight="true" outlineLevel="0" collapsed="false">
      <c r="A186" s="33" t="n">
        <v>182</v>
      </c>
      <c r="B186" s="33" t="n">
        <v>16</v>
      </c>
      <c r="C186" s="35" t="n">
        <f aca="false">F185</f>
        <v>56822.0601019439</v>
      </c>
      <c r="D186" s="36" t="n">
        <f aca="false">IF(C186&gt;0,C186*Paramètres!B21/12,0)</f>
        <v>165.73100863067</v>
      </c>
      <c r="E186" s="36" t="n">
        <f aca="false">IF(C186&gt;0,MIN(Paramètres!B23-D186,C186),0)</f>
        <v>883.996080918726</v>
      </c>
      <c r="F186" s="35" t="n">
        <f aca="false">MAX(C186-E186,0)</f>
        <v>55938.0640210252</v>
      </c>
    </row>
    <row r="187" customFormat="false" ht="15" hidden="false" customHeight="true" outlineLevel="0" collapsed="false">
      <c r="A187" s="33" t="n">
        <v>183</v>
      </c>
      <c r="B187" s="33" t="n">
        <v>16</v>
      </c>
      <c r="C187" s="35" t="n">
        <f aca="false">F186</f>
        <v>55938.0640210252</v>
      </c>
      <c r="D187" s="36" t="n">
        <f aca="false">IF(C187&gt;0,C187*Paramètres!B21/12,0)</f>
        <v>163.15268672799</v>
      </c>
      <c r="E187" s="36" t="n">
        <f aca="false">IF(C187&gt;0,MIN(Paramètres!B23-D187,C187),0)</f>
        <v>886.574402821406</v>
      </c>
      <c r="F187" s="35" t="n">
        <f aca="false">MAX(C187-E187,0)</f>
        <v>55051.4896182038</v>
      </c>
    </row>
    <row r="188" customFormat="false" ht="15" hidden="false" customHeight="true" outlineLevel="0" collapsed="false">
      <c r="A188" s="33" t="n">
        <v>184</v>
      </c>
      <c r="B188" s="33" t="n">
        <v>16</v>
      </c>
      <c r="C188" s="35" t="n">
        <f aca="false">F187</f>
        <v>55051.4896182038</v>
      </c>
      <c r="D188" s="36" t="n">
        <f aca="false">IF(C188&gt;0,C188*Paramètres!B21/12,0)</f>
        <v>160.566844719761</v>
      </c>
      <c r="E188" s="36" t="n">
        <f aca="false">IF(C188&gt;0,MIN(Paramètres!B23-D188,C188),0)</f>
        <v>889.160244829635</v>
      </c>
      <c r="F188" s="35" t="n">
        <f aca="false">MAX(C188-E188,0)</f>
        <v>54162.3293733742</v>
      </c>
    </row>
    <row r="189" customFormat="false" ht="15" hidden="false" customHeight="true" outlineLevel="0" collapsed="false">
      <c r="A189" s="33" t="n">
        <v>185</v>
      </c>
      <c r="B189" s="33" t="n">
        <v>16</v>
      </c>
      <c r="C189" s="35" t="n">
        <f aca="false">F188</f>
        <v>54162.3293733742</v>
      </c>
      <c r="D189" s="36" t="n">
        <f aca="false">IF(C189&gt;0,C189*Paramètres!B21/12,0)</f>
        <v>157.973460672341</v>
      </c>
      <c r="E189" s="36" t="n">
        <f aca="false">IF(C189&gt;0,MIN(Paramètres!B23-D189,C189),0)</f>
        <v>891.753628877055</v>
      </c>
      <c r="F189" s="35" t="n">
        <f aca="false">MAX(C189-E189,0)</f>
        <v>53270.5757444971</v>
      </c>
    </row>
    <row r="190" customFormat="false" ht="15" hidden="false" customHeight="true" outlineLevel="0" collapsed="false">
      <c r="A190" s="33" t="n">
        <v>186</v>
      </c>
      <c r="B190" s="33" t="n">
        <v>16</v>
      </c>
      <c r="C190" s="35" t="n">
        <f aca="false">F189</f>
        <v>53270.5757444971</v>
      </c>
      <c r="D190" s="36" t="n">
        <f aca="false">IF(C190&gt;0,C190*Paramètres!B21/12,0)</f>
        <v>155.372512588117</v>
      </c>
      <c r="E190" s="36" t="n">
        <f aca="false">IF(C190&gt;0,MIN(Paramètres!B23-D190,C190),0)</f>
        <v>894.35457696128</v>
      </c>
      <c r="F190" s="35" t="n">
        <f aca="false">MAX(C190-E190,0)</f>
        <v>52376.2211675358</v>
      </c>
    </row>
    <row r="191" customFormat="false" ht="15" hidden="false" customHeight="true" outlineLevel="0" collapsed="false">
      <c r="A191" s="33" t="n">
        <v>187</v>
      </c>
      <c r="B191" s="33" t="n">
        <v>16</v>
      </c>
      <c r="C191" s="35" t="n">
        <f aca="false">F190</f>
        <v>52376.2211675358</v>
      </c>
      <c r="D191" s="36" t="n">
        <f aca="false">IF(C191&gt;0,C191*Paramètres!B21/12,0)</f>
        <v>152.763978405313</v>
      </c>
      <c r="E191" s="36" t="n">
        <f aca="false">IF(C191&gt;0,MIN(Paramètres!B23-D191,C191),0)</f>
        <v>896.963111144083</v>
      </c>
      <c r="F191" s="35" t="n">
        <f aca="false">MAX(C191-E191,0)</f>
        <v>51479.2580563918</v>
      </c>
    </row>
    <row r="192" customFormat="false" ht="15" hidden="false" customHeight="true" outlineLevel="0" collapsed="false">
      <c r="A192" s="33" t="n">
        <v>188</v>
      </c>
      <c r="B192" s="33" t="n">
        <v>16</v>
      </c>
      <c r="C192" s="35" t="n">
        <f aca="false">F191</f>
        <v>51479.2580563918</v>
      </c>
      <c r="D192" s="36" t="n">
        <f aca="false">IF(C192&gt;0,C192*Paramètres!B21/12,0)</f>
        <v>150.147835997809</v>
      </c>
      <c r="E192" s="36" t="n">
        <f aca="false">IF(C192&gt;0,MIN(Paramètres!B23-D192,C192),0)</f>
        <v>899.579253551587</v>
      </c>
      <c r="F192" s="35" t="n">
        <f aca="false">MAX(C192-E192,0)</f>
        <v>50579.6788028402</v>
      </c>
    </row>
    <row r="193" customFormat="false" ht="15" hidden="false" customHeight="true" outlineLevel="0" collapsed="false">
      <c r="A193" s="33" t="n">
        <v>189</v>
      </c>
      <c r="B193" s="33" t="n">
        <v>16</v>
      </c>
      <c r="C193" s="35" t="n">
        <f aca="false">F192</f>
        <v>50579.6788028402</v>
      </c>
      <c r="D193" s="36" t="n">
        <f aca="false">IF(C193&gt;0,C193*Paramètres!B21/12,0)</f>
        <v>147.524063174951</v>
      </c>
      <c r="E193" s="36" t="n">
        <f aca="false">IF(C193&gt;0,MIN(Paramètres!B23-D193,C193),0)</f>
        <v>902.203026374446</v>
      </c>
      <c r="F193" s="35" t="n">
        <f aca="false">MAX(C193-E193,0)</f>
        <v>49677.4757764657</v>
      </c>
    </row>
    <row r="194" customFormat="false" ht="15" hidden="false" customHeight="true" outlineLevel="0" collapsed="false">
      <c r="A194" s="33" t="n">
        <v>190</v>
      </c>
      <c r="B194" s="33" t="n">
        <v>16</v>
      </c>
      <c r="C194" s="35" t="n">
        <f aca="false">F193</f>
        <v>49677.4757764657</v>
      </c>
      <c r="D194" s="36" t="n">
        <f aca="false">IF(C194&gt;0,C194*Paramètres!B21/12,0)</f>
        <v>144.892637681358</v>
      </c>
      <c r="E194" s="36" t="n">
        <f aca="false">IF(C194&gt;0,MIN(Paramètres!B23-D194,C194),0)</f>
        <v>904.834451868038</v>
      </c>
      <c r="F194" s="35" t="n">
        <f aca="false">MAX(C194-E194,0)</f>
        <v>48772.6413245977</v>
      </c>
    </row>
    <row r="195" customFormat="false" ht="15" hidden="false" customHeight="true" outlineLevel="0" collapsed="false">
      <c r="A195" s="33" t="n">
        <v>191</v>
      </c>
      <c r="B195" s="33" t="n">
        <v>16</v>
      </c>
      <c r="C195" s="35" t="n">
        <f aca="false">F194</f>
        <v>48772.6413245977</v>
      </c>
      <c r="D195" s="36" t="n">
        <f aca="false">IF(C195&gt;0,C195*Paramètres!B21/12,0)</f>
        <v>142.253537196743</v>
      </c>
      <c r="E195" s="36" t="n">
        <f aca="false">IF(C195&gt;0,MIN(Paramètres!B23-D195,C195),0)</f>
        <v>907.473552352653</v>
      </c>
      <c r="F195" s="35" t="n">
        <f aca="false">MAX(C195-E195,0)</f>
        <v>47865.167772245</v>
      </c>
    </row>
    <row r="196" customFormat="false" ht="15" hidden="false" customHeight="true" outlineLevel="0" collapsed="false">
      <c r="A196" s="33" t="n">
        <v>192</v>
      </c>
      <c r="B196" s="33" t="n">
        <v>16</v>
      </c>
      <c r="C196" s="35" t="n">
        <f aca="false">F195</f>
        <v>47865.167772245</v>
      </c>
      <c r="D196" s="36" t="n">
        <f aca="false">IF(C196&gt;0,C196*Paramètres!B21/12,0)</f>
        <v>139.606739335715</v>
      </c>
      <c r="E196" s="36" t="n">
        <f aca="false">IF(C196&gt;0,MIN(Paramètres!B23-D196,C196),0)</f>
        <v>910.120350213682</v>
      </c>
      <c r="F196" s="35" t="n">
        <f aca="false">MAX(C196-E196,0)</f>
        <v>46955.0474220314</v>
      </c>
    </row>
    <row r="197" customFormat="false" ht="15" hidden="false" customHeight="true" outlineLevel="0" collapsed="false">
      <c r="A197" s="33" t="n">
        <v>193</v>
      </c>
      <c r="B197" s="33" t="n">
        <v>17</v>
      </c>
      <c r="C197" s="10" t="n">
        <f aca="false">F196</f>
        <v>46955.0474220314</v>
      </c>
      <c r="D197" s="34" t="n">
        <f aca="false">IF(C197&gt;0,C197*Paramètres!B21/12,0)</f>
        <v>136.952221647591</v>
      </c>
      <c r="E197" s="34" t="n">
        <f aca="false">IF(C197&gt;0,MIN(Paramètres!B23-D197,C197),0)</f>
        <v>912.774867901805</v>
      </c>
      <c r="F197" s="10" t="n">
        <f aca="false">MAX(C197-E197,0)</f>
        <v>46042.2725541295</v>
      </c>
    </row>
    <row r="198" customFormat="false" ht="15" hidden="false" customHeight="true" outlineLevel="0" collapsed="false">
      <c r="A198" s="33" t="n">
        <v>194</v>
      </c>
      <c r="B198" s="33" t="n">
        <v>17</v>
      </c>
      <c r="C198" s="10" t="n">
        <f aca="false">F197</f>
        <v>46042.2725541295</v>
      </c>
      <c r="D198" s="34" t="n">
        <f aca="false">IF(C198&gt;0,C198*Paramètres!B21/12,0)</f>
        <v>134.289961616211</v>
      </c>
      <c r="E198" s="34" t="n">
        <f aca="false">IF(C198&gt;0,MIN(Paramètres!B23-D198,C198),0)</f>
        <v>915.437127933185</v>
      </c>
      <c r="F198" s="10" t="n">
        <f aca="false">MAX(C198-E198,0)</f>
        <v>45126.8354261964</v>
      </c>
    </row>
    <row r="199" customFormat="false" ht="15" hidden="false" customHeight="true" outlineLevel="0" collapsed="false">
      <c r="A199" s="33" t="n">
        <v>195</v>
      </c>
      <c r="B199" s="33" t="n">
        <v>17</v>
      </c>
      <c r="C199" s="10" t="n">
        <f aca="false">F198</f>
        <v>45126.8354261964</v>
      </c>
      <c r="D199" s="34" t="n">
        <f aca="false">IF(C199&gt;0,C199*Paramètres!B21/12,0)</f>
        <v>131.619936659739</v>
      </c>
      <c r="E199" s="34" t="n">
        <f aca="false">IF(C199&gt;0,MIN(Paramètres!B23-D199,C199),0)</f>
        <v>918.107152889657</v>
      </c>
      <c r="F199" s="10" t="n">
        <f aca="false">MAX(C199-E199,0)</f>
        <v>44208.7282733067</v>
      </c>
    </row>
    <row r="200" customFormat="false" ht="15" hidden="false" customHeight="true" outlineLevel="0" collapsed="false">
      <c r="A200" s="33" t="n">
        <v>196</v>
      </c>
      <c r="B200" s="33" t="n">
        <v>17</v>
      </c>
      <c r="C200" s="10" t="n">
        <f aca="false">F199</f>
        <v>44208.7282733067</v>
      </c>
      <c r="D200" s="34" t="n">
        <f aca="false">IF(C200&gt;0,C200*Paramètres!B21/12,0)</f>
        <v>128.942124130478</v>
      </c>
      <c r="E200" s="34" t="n">
        <f aca="false">IF(C200&gt;0,MIN(Paramètres!B23-D200,C200),0)</f>
        <v>920.784965418918</v>
      </c>
      <c r="F200" s="10" t="n">
        <f aca="false">MAX(C200-E200,0)</f>
        <v>43287.9433078878</v>
      </c>
    </row>
    <row r="201" customFormat="false" ht="15" hidden="false" customHeight="true" outlineLevel="0" collapsed="false">
      <c r="A201" s="33" t="n">
        <v>197</v>
      </c>
      <c r="B201" s="33" t="n">
        <v>17</v>
      </c>
      <c r="C201" s="10" t="n">
        <f aca="false">F200</f>
        <v>43287.9433078878</v>
      </c>
      <c r="D201" s="34" t="n">
        <f aca="false">IF(C201&gt;0,C201*Paramètres!B21/12,0)</f>
        <v>126.256501314673</v>
      </c>
      <c r="E201" s="34" t="n">
        <f aca="false">IF(C201&gt;0,MIN(Paramètres!B23-D201,C201),0)</f>
        <v>923.470588234723</v>
      </c>
      <c r="F201" s="10" t="n">
        <f aca="false">MAX(C201-E201,0)</f>
        <v>42364.4727196531</v>
      </c>
    </row>
    <row r="202" customFormat="false" ht="15" hidden="false" customHeight="true" outlineLevel="0" collapsed="false">
      <c r="A202" s="33" t="n">
        <v>198</v>
      </c>
      <c r="B202" s="33" t="n">
        <v>17</v>
      </c>
      <c r="C202" s="10" t="n">
        <f aca="false">F201</f>
        <v>42364.4727196531</v>
      </c>
      <c r="D202" s="34" t="n">
        <f aca="false">IF(C202&gt;0,C202*Paramètres!B21/12,0)</f>
        <v>123.563045432321</v>
      </c>
      <c r="E202" s="34" t="n">
        <f aca="false">IF(C202&gt;0,MIN(Paramètres!B23-D202,C202),0)</f>
        <v>926.164044117075</v>
      </c>
      <c r="F202" s="10" t="n">
        <f aca="false">MAX(C202-E202,0)</f>
        <v>41438.308675536</v>
      </c>
    </row>
    <row r="203" customFormat="false" ht="15" hidden="false" customHeight="true" outlineLevel="0" collapsed="false">
      <c r="A203" s="33" t="n">
        <v>199</v>
      </c>
      <c r="B203" s="33" t="n">
        <v>17</v>
      </c>
      <c r="C203" s="10" t="n">
        <f aca="false">F202</f>
        <v>41438.308675536</v>
      </c>
      <c r="D203" s="34" t="n">
        <f aca="false">IF(C203&gt;0,C203*Paramètres!B21/12,0)</f>
        <v>120.86173363698</v>
      </c>
      <c r="E203" s="34" t="n">
        <f aca="false">IF(C203&gt;0,MIN(Paramètres!B23-D203,C203),0)</f>
        <v>928.865355912416</v>
      </c>
      <c r="F203" s="10" t="n">
        <f aca="false">MAX(C203-E203,0)</f>
        <v>40509.4433196236</v>
      </c>
    </row>
    <row r="204" customFormat="false" ht="15" hidden="false" customHeight="true" outlineLevel="0" collapsed="false">
      <c r="A204" s="33" t="n">
        <v>200</v>
      </c>
      <c r="B204" s="33" t="n">
        <v>17</v>
      </c>
      <c r="C204" s="10" t="n">
        <f aca="false">F203</f>
        <v>40509.4433196236</v>
      </c>
      <c r="D204" s="34" t="n">
        <f aca="false">IF(C204&gt;0,C204*Paramètres!B21/12,0)</f>
        <v>118.152543015569</v>
      </c>
      <c r="E204" s="34" t="n">
        <f aca="false">IF(C204&gt;0,MIN(Paramètres!B23-D204,C204),0)</f>
        <v>931.574546533827</v>
      </c>
      <c r="F204" s="10" t="n">
        <f aca="false">MAX(C204-E204,0)</f>
        <v>39577.8687730897</v>
      </c>
    </row>
    <row r="205" customFormat="false" ht="15" hidden="false" customHeight="true" outlineLevel="0" collapsed="false">
      <c r="A205" s="33" t="n">
        <v>201</v>
      </c>
      <c r="B205" s="33" t="n">
        <v>17</v>
      </c>
      <c r="C205" s="10" t="n">
        <f aca="false">F204</f>
        <v>39577.8687730897</v>
      </c>
      <c r="D205" s="34" t="n">
        <f aca="false">IF(C205&gt;0,C205*Paramètres!B21/12,0)</f>
        <v>115.435450588178</v>
      </c>
      <c r="E205" s="34" t="n">
        <f aca="false">IF(C205&gt;0,MIN(Paramètres!B23-D205,C205),0)</f>
        <v>934.291638961218</v>
      </c>
      <c r="F205" s="10" t="n">
        <f aca="false">MAX(C205-E205,0)</f>
        <v>38643.5771341285</v>
      </c>
    </row>
    <row r="206" customFormat="false" ht="15" hidden="false" customHeight="true" outlineLevel="0" collapsed="false">
      <c r="A206" s="33" t="n">
        <v>202</v>
      </c>
      <c r="B206" s="33" t="n">
        <v>17</v>
      </c>
      <c r="C206" s="10" t="n">
        <f aca="false">F205</f>
        <v>38643.5771341285</v>
      </c>
      <c r="D206" s="34" t="n">
        <f aca="false">IF(C206&gt;0,C206*Paramètres!B21/12,0)</f>
        <v>112.710433307875</v>
      </c>
      <c r="E206" s="34" t="n">
        <f aca="false">IF(C206&gt;0,MIN(Paramètres!B23-D206,C206),0)</f>
        <v>937.016656241521</v>
      </c>
      <c r="F206" s="10" t="n">
        <f aca="false">MAX(C206-E206,0)</f>
        <v>37706.560477887</v>
      </c>
    </row>
    <row r="207" customFormat="false" ht="15" hidden="false" customHeight="true" outlineLevel="0" collapsed="false">
      <c r="A207" s="33" t="n">
        <v>203</v>
      </c>
      <c r="B207" s="33" t="n">
        <v>17</v>
      </c>
      <c r="C207" s="10" t="n">
        <f aca="false">F206</f>
        <v>37706.560477887</v>
      </c>
      <c r="D207" s="34" t="n">
        <f aca="false">IF(C207&gt;0,C207*Paramètres!B21/12,0)</f>
        <v>109.977468060504</v>
      </c>
      <c r="E207" s="34" t="n">
        <f aca="false">IF(C207&gt;0,MIN(Paramètres!B23-D207,C207),0)</f>
        <v>939.749621488892</v>
      </c>
      <c r="F207" s="10" t="n">
        <f aca="false">MAX(C207-E207,0)</f>
        <v>36766.8108563981</v>
      </c>
    </row>
    <row r="208" customFormat="false" ht="15" hidden="false" customHeight="true" outlineLevel="0" collapsed="false">
      <c r="A208" s="33" t="n">
        <v>204</v>
      </c>
      <c r="B208" s="33" t="n">
        <v>17</v>
      </c>
      <c r="C208" s="10" t="n">
        <f aca="false">F207</f>
        <v>36766.8108563981</v>
      </c>
      <c r="D208" s="34" t="n">
        <f aca="false">IF(C208&gt;0,C208*Paramètres!B21/12,0)</f>
        <v>107.236531664495</v>
      </c>
      <c r="E208" s="34" t="n">
        <f aca="false">IF(C208&gt;0,MIN(Paramètres!B23-D208,C208),0)</f>
        <v>942.490557884902</v>
      </c>
      <c r="F208" s="10" t="n">
        <f aca="false">MAX(C208-E208,0)</f>
        <v>35824.3202985132</v>
      </c>
    </row>
    <row r="209" customFormat="false" ht="15" hidden="false" customHeight="true" outlineLevel="0" collapsed="false">
      <c r="A209" s="33" t="n">
        <v>205</v>
      </c>
      <c r="B209" s="33" t="n">
        <v>18</v>
      </c>
      <c r="C209" s="35" t="n">
        <f aca="false">F208</f>
        <v>35824.3202985132</v>
      </c>
      <c r="D209" s="36" t="n">
        <f aca="false">IF(C209&gt;0,C209*Paramètres!B21/12,0)</f>
        <v>104.487600870664</v>
      </c>
      <c r="E209" s="36" t="n">
        <f aca="false">IF(C209&gt;0,MIN(Paramètres!B23-D209,C209),0)</f>
        <v>945.239488678733</v>
      </c>
      <c r="F209" s="35" t="n">
        <f aca="false">MAX(C209-E209,0)</f>
        <v>34879.0808098345</v>
      </c>
    </row>
    <row r="210" customFormat="false" ht="15" hidden="false" customHeight="true" outlineLevel="0" collapsed="false">
      <c r="A210" s="33" t="n">
        <v>206</v>
      </c>
      <c r="B210" s="33" t="n">
        <v>18</v>
      </c>
      <c r="C210" s="35" t="n">
        <f aca="false">F209</f>
        <v>34879.0808098345</v>
      </c>
      <c r="D210" s="36" t="n">
        <f aca="false">IF(C210&gt;0,C210*Paramètres!B21/12,0)</f>
        <v>101.730652362017</v>
      </c>
      <c r="E210" s="36" t="n">
        <f aca="false">IF(C210&gt;0,MIN(Paramètres!B23-D210,C210),0)</f>
        <v>947.996437187379</v>
      </c>
      <c r="F210" s="35" t="n">
        <f aca="false">MAX(C210-E210,0)</f>
        <v>33931.0843726471</v>
      </c>
    </row>
    <row r="211" customFormat="false" ht="15" hidden="false" customHeight="true" outlineLevel="0" collapsed="false">
      <c r="A211" s="33" t="n">
        <v>207</v>
      </c>
      <c r="B211" s="33" t="n">
        <v>18</v>
      </c>
      <c r="C211" s="35" t="n">
        <f aca="false">F210</f>
        <v>33931.0843726471</v>
      </c>
      <c r="D211" s="36" t="n">
        <f aca="false">IF(C211&gt;0,C211*Paramètres!B21/12,0)</f>
        <v>98.9656627535541</v>
      </c>
      <c r="E211" s="36" t="n">
        <f aca="false">IF(C211&gt;0,MIN(Paramètres!B23-D211,C211),0)</f>
        <v>950.761426795842</v>
      </c>
      <c r="F211" s="35" t="n">
        <f aca="false">MAX(C211-E211,0)</f>
        <v>32980.3229458513</v>
      </c>
    </row>
    <row r="212" customFormat="false" ht="15" hidden="false" customHeight="true" outlineLevel="0" collapsed="false">
      <c r="A212" s="33" t="n">
        <v>208</v>
      </c>
      <c r="B212" s="33" t="n">
        <v>18</v>
      </c>
      <c r="C212" s="35" t="n">
        <f aca="false">F211</f>
        <v>32980.3229458513</v>
      </c>
      <c r="D212" s="36" t="n">
        <f aca="false">IF(C212&gt;0,C212*Paramètres!B21/12,0)</f>
        <v>96.1926085920662</v>
      </c>
      <c r="E212" s="36" t="n">
        <f aca="false">IF(C212&gt;0,MIN(Paramètres!B23-D212,C212),0)</f>
        <v>953.53448095733</v>
      </c>
      <c r="F212" s="35" t="n">
        <f aca="false">MAX(C212-E212,0)</f>
        <v>32026.7884648939</v>
      </c>
    </row>
    <row r="213" customFormat="false" ht="15" hidden="false" customHeight="true" outlineLevel="0" collapsed="false">
      <c r="A213" s="33" t="n">
        <v>209</v>
      </c>
      <c r="B213" s="33" t="n">
        <v>18</v>
      </c>
      <c r="C213" s="35" t="n">
        <f aca="false">F212</f>
        <v>32026.7884648939</v>
      </c>
      <c r="D213" s="36" t="n">
        <f aca="false">IF(C213&gt;0,C213*Paramètres!B21/12,0)</f>
        <v>93.4114663559407</v>
      </c>
      <c r="E213" s="36" t="n">
        <f aca="false">IF(C213&gt;0,MIN(Paramètres!B23-D213,C213),0)</f>
        <v>956.315623193456</v>
      </c>
      <c r="F213" s="35" t="n">
        <f aca="false">MAX(C213-E213,0)</f>
        <v>31070.4728417005</v>
      </c>
    </row>
    <row r="214" customFormat="false" ht="15" hidden="false" customHeight="true" outlineLevel="0" collapsed="false">
      <c r="A214" s="33" t="n">
        <v>210</v>
      </c>
      <c r="B214" s="33" t="n">
        <v>18</v>
      </c>
      <c r="C214" s="35" t="n">
        <f aca="false">F213</f>
        <v>31070.4728417005</v>
      </c>
      <c r="D214" s="36" t="n">
        <f aca="false">IF(C214&gt;0,C214*Paramètres!B21/12,0)</f>
        <v>90.6222124549598</v>
      </c>
      <c r="E214" s="36" t="n">
        <f aca="false">IF(C214&gt;0,MIN(Paramètres!B23-D214,C214),0)</f>
        <v>959.104877094437</v>
      </c>
      <c r="F214" s="35" t="n">
        <f aca="false">MAX(C214-E214,0)</f>
        <v>30111.3679646061</v>
      </c>
    </row>
    <row r="215" customFormat="false" ht="15" hidden="false" customHeight="true" outlineLevel="0" collapsed="false">
      <c r="A215" s="33" t="n">
        <v>211</v>
      </c>
      <c r="B215" s="33" t="n">
        <v>18</v>
      </c>
      <c r="C215" s="35" t="n">
        <f aca="false">F214</f>
        <v>30111.3679646061</v>
      </c>
      <c r="D215" s="36" t="n">
        <f aca="false">IF(C215&gt;0,C215*Paramètres!B21/12,0)</f>
        <v>87.824823230101</v>
      </c>
      <c r="E215" s="36" t="n">
        <f aca="false">IF(C215&gt;0,MIN(Paramètres!B23-D215,C215),0)</f>
        <v>961.902266319295</v>
      </c>
      <c r="F215" s="35" t="n">
        <f aca="false">MAX(C215-E215,0)</f>
        <v>29149.4656982868</v>
      </c>
    </row>
    <row r="216" customFormat="false" ht="15" hidden="false" customHeight="true" outlineLevel="0" collapsed="false">
      <c r="A216" s="33" t="n">
        <v>212</v>
      </c>
      <c r="B216" s="33" t="n">
        <v>18</v>
      </c>
      <c r="C216" s="35" t="n">
        <f aca="false">F215</f>
        <v>29149.4656982868</v>
      </c>
      <c r="D216" s="36" t="n">
        <f aca="false">IF(C216&gt;0,C216*Paramètres!B21/12,0)</f>
        <v>85.0192749533364</v>
      </c>
      <c r="E216" s="36" t="n">
        <f aca="false">IF(C216&gt;0,MIN(Paramètres!B23-D216,C216),0)</f>
        <v>964.70781459606</v>
      </c>
      <c r="F216" s="35" t="n">
        <f aca="false">MAX(C216-E216,0)</f>
        <v>28184.7578836907</v>
      </c>
    </row>
    <row r="217" customFormat="false" ht="15" hidden="false" customHeight="true" outlineLevel="0" collapsed="false">
      <c r="A217" s="33" t="n">
        <v>213</v>
      </c>
      <c r="B217" s="33" t="n">
        <v>18</v>
      </c>
      <c r="C217" s="35" t="n">
        <f aca="false">F216</f>
        <v>28184.7578836907</v>
      </c>
      <c r="D217" s="36" t="n">
        <f aca="false">IF(C217&gt;0,C217*Paramètres!B21/12,0)</f>
        <v>82.2055438274312</v>
      </c>
      <c r="E217" s="36" t="n">
        <f aca="false">IF(C217&gt;0,MIN(Paramètres!B23-D217,C217),0)</f>
        <v>967.521545721965</v>
      </c>
      <c r="F217" s="35" t="n">
        <f aca="false">MAX(C217-E217,0)</f>
        <v>27217.2363379687</v>
      </c>
    </row>
    <row r="218" customFormat="false" ht="15" hidden="false" customHeight="true" outlineLevel="0" collapsed="false">
      <c r="A218" s="33" t="n">
        <v>214</v>
      </c>
      <c r="B218" s="33" t="n">
        <v>18</v>
      </c>
      <c r="C218" s="35" t="n">
        <f aca="false">F217</f>
        <v>27217.2363379687</v>
      </c>
      <c r="D218" s="36" t="n">
        <f aca="false">IF(C218&gt;0,C218*Paramètres!B21/12,0)</f>
        <v>79.3836059857422</v>
      </c>
      <c r="E218" s="36" t="n">
        <f aca="false">IF(C218&gt;0,MIN(Paramètres!B23-D218,C218),0)</f>
        <v>970.343483563654</v>
      </c>
      <c r="F218" s="35" t="n">
        <f aca="false">MAX(C218-E218,0)</f>
        <v>26246.8928544051</v>
      </c>
    </row>
    <row r="219" customFormat="false" ht="15" hidden="false" customHeight="true" outlineLevel="0" collapsed="false">
      <c r="A219" s="33" t="n">
        <v>215</v>
      </c>
      <c r="B219" s="33" t="n">
        <v>18</v>
      </c>
      <c r="C219" s="35" t="n">
        <f aca="false">F218</f>
        <v>26246.8928544051</v>
      </c>
      <c r="D219" s="36" t="n">
        <f aca="false">IF(C219&gt;0,C219*Paramètres!B21/12,0)</f>
        <v>76.5534374920148</v>
      </c>
      <c r="E219" s="36" t="n">
        <f aca="false">IF(C219&gt;0,MIN(Paramètres!B23-D219,C219),0)</f>
        <v>973.173652057381</v>
      </c>
      <c r="F219" s="35" t="n">
        <f aca="false">MAX(C219-E219,0)</f>
        <v>25273.7192023477</v>
      </c>
    </row>
    <row r="220" customFormat="false" ht="15" hidden="false" customHeight="true" outlineLevel="0" collapsed="false">
      <c r="A220" s="33" t="n">
        <v>216</v>
      </c>
      <c r="B220" s="33" t="n">
        <v>18</v>
      </c>
      <c r="C220" s="35" t="n">
        <f aca="false">F219</f>
        <v>25273.7192023477</v>
      </c>
      <c r="D220" s="36" t="n">
        <f aca="false">IF(C220&gt;0,C220*Paramètres!B21/12,0)</f>
        <v>73.7150143401808</v>
      </c>
      <c r="E220" s="36" t="n">
        <f aca="false">IF(C220&gt;0,MIN(Paramètres!B23-D220,C220),0)</f>
        <v>976.012075209215</v>
      </c>
      <c r="F220" s="35" t="n">
        <f aca="false">MAX(C220-E220,0)</f>
        <v>24297.7071271385</v>
      </c>
    </row>
    <row r="221" customFormat="false" ht="15" hidden="false" customHeight="true" outlineLevel="0" collapsed="false">
      <c r="A221" s="33" t="n">
        <v>217</v>
      </c>
      <c r="B221" s="33" t="n">
        <v>19</v>
      </c>
      <c r="C221" s="10" t="n">
        <f aca="false">F220</f>
        <v>24297.7071271385</v>
      </c>
      <c r="D221" s="34" t="n">
        <f aca="false">IF(C221&gt;0,C221*Paramètres!B21/12,0)</f>
        <v>70.8683124541539</v>
      </c>
      <c r="E221" s="34" t="n">
        <f aca="false">IF(C221&gt;0,MIN(Paramètres!B23-D221,C221),0)</f>
        <v>978.858777095242</v>
      </c>
      <c r="F221" s="10" t="n">
        <f aca="false">MAX(C221-E221,0)</f>
        <v>23318.8483500432</v>
      </c>
    </row>
    <row r="222" customFormat="false" ht="15" hidden="false" customHeight="true" outlineLevel="0" collapsed="false">
      <c r="A222" s="33" t="n">
        <v>218</v>
      </c>
      <c r="B222" s="33" t="n">
        <v>19</v>
      </c>
      <c r="C222" s="10" t="n">
        <f aca="false">F221</f>
        <v>23318.8483500432</v>
      </c>
      <c r="D222" s="34" t="n">
        <f aca="false">IF(C222&gt;0,C222*Paramètres!B21/12,0)</f>
        <v>68.0133076876261</v>
      </c>
      <c r="E222" s="34" t="n">
        <f aca="false">IF(C222&gt;0,MIN(Paramètres!B23-D222,C222),0)</f>
        <v>981.71378186177</v>
      </c>
      <c r="F222" s="10" t="n">
        <f aca="false">MAX(C222-E222,0)</f>
        <v>22337.1345681815</v>
      </c>
    </row>
    <row r="223" customFormat="false" ht="15" hidden="false" customHeight="true" outlineLevel="0" collapsed="false">
      <c r="A223" s="33" t="n">
        <v>219</v>
      </c>
      <c r="B223" s="33" t="n">
        <v>19</v>
      </c>
      <c r="C223" s="10" t="n">
        <f aca="false">F222</f>
        <v>22337.1345681815</v>
      </c>
      <c r="D223" s="34" t="n">
        <f aca="false">IF(C223&gt;0,C223*Paramètres!B21/12,0)</f>
        <v>65.1499758238626</v>
      </c>
      <c r="E223" s="34" t="n">
        <f aca="false">IF(C223&gt;0,MIN(Paramètres!B23-D223,C223),0)</f>
        <v>984.577113725534</v>
      </c>
      <c r="F223" s="10" t="n">
        <f aca="false">MAX(C223-E223,0)</f>
        <v>21352.5574544559</v>
      </c>
    </row>
    <row r="224" customFormat="false" ht="15" hidden="false" customHeight="true" outlineLevel="0" collapsed="false">
      <c r="A224" s="33" t="n">
        <v>220</v>
      </c>
      <c r="B224" s="33" t="n">
        <v>19</v>
      </c>
      <c r="C224" s="10" t="n">
        <f aca="false">F223</f>
        <v>21352.5574544559</v>
      </c>
      <c r="D224" s="34" t="n">
        <f aca="false">IF(C224&gt;0,C224*Paramètres!B21/12,0)</f>
        <v>62.2782925754965</v>
      </c>
      <c r="E224" s="34" t="n">
        <f aca="false">IF(C224&gt;0,MIN(Paramètres!B23-D224,C224),0)</f>
        <v>987.4487969739</v>
      </c>
      <c r="F224" s="10" t="n">
        <f aca="false">MAX(C224-E224,0)</f>
        <v>20365.108657482</v>
      </c>
    </row>
    <row r="225" customFormat="false" ht="15" hidden="false" customHeight="true" outlineLevel="0" collapsed="false">
      <c r="A225" s="33" t="n">
        <v>221</v>
      </c>
      <c r="B225" s="33" t="n">
        <v>19</v>
      </c>
      <c r="C225" s="10" t="n">
        <f aca="false">F224</f>
        <v>20365.108657482</v>
      </c>
      <c r="D225" s="34" t="n">
        <f aca="false">IF(C225&gt;0,C225*Paramètres!B21/12,0)</f>
        <v>59.3982335843226</v>
      </c>
      <c r="E225" s="34" t="n">
        <f aca="false">IF(C225&gt;0,MIN(Paramètres!B23-D225,C225),0)</f>
        <v>990.328855965074</v>
      </c>
      <c r="F225" s="10" t="n">
        <f aca="false">MAX(C225-E225,0)</f>
        <v>19374.779801517</v>
      </c>
    </row>
    <row r="226" customFormat="false" ht="15" hidden="false" customHeight="true" outlineLevel="0" collapsed="false">
      <c r="A226" s="33" t="n">
        <v>222</v>
      </c>
      <c r="B226" s="33" t="n">
        <v>19</v>
      </c>
      <c r="C226" s="10" t="n">
        <f aca="false">F225</f>
        <v>19374.779801517</v>
      </c>
      <c r="D226" s="34" t="n">
        <f aca="false">IF(C226&gt;0,C226*Paramètres!B21/12,0)</f>
        <v>56.5097744210912</v>
      </c>
      <c r="E226" s="34" t="n">
        <f aca="false">IF(C226&gt;0,MIN(Paramètres!B23-D226,C226),0)</f>
        <v>993.217315128305</v>
      </c>
      <c r="F226" s="10" t="n">
        <f aca="false">MAX(C226-E226,0)</f>
        <v>18381.5624863887</v>
      </c>
    </row>
    <row r="227" customFormat="false" ht="15" hidden="false" customHeight="true" outlineLevel="0" collapsed="false">
      <c r="A227" s="33" t="n">
        <v>223</v>
      </c>
      <c r="B227" s="33" t="n">
        <v>19</v>
      </c>
      <c r="C227" s="10" t="n">
        <f aca="false">F226</f>
        <v>18381.5624863887</v>
      </c>
      <c r="D227" s="34" t="n">
        <f aca="false">IF(C227&gt;0,C227*Paramètres!B21/12,0)</f>
        <v>53.6128905853003</v>
      </c>
      <c r="E227" s="34" t="n">
        <f aca="false">IF(C227&gt;0,MIN(Paramètres!B23-D227,C227),0)</f>
        <v>996.114198964096</v>
      </c>
      <c r="F227" s="10" t="n">
        <f aca="false">MAX(C227-E227,0)</f>
        <v>17385.4482874246</v>
      </c>
    </row>
    <row r="228" customFormat="false" ht="15" hidden="false" customHeight="true" outlineLevel="0" collapsed="false">
      <c r="A228" s="33" t="n">
        <v>224</v>
      </c>
      <c r="B228" s="33" t="n">
        <v>19</v>
      </c>
      <c r="C228" s="10" t="n">
        <f aca="false">F227</f>
        <v>17385.4482874246</v>
      </c>
      <c r="D228" s="34" t="n">
        <f aca="false">IF(C228&gt;0,C228*Paramètres!B21/12,0)</f>
        <v>50.7075575049883</v>
      </c>
      <c r="E228" s="34" t="n">
        <f aca="false">IF(C228&gt;0,MIN(Paramètres!B23-D228,C228),0)</f>
        <v>999.019532044408</v>
      </c>
      <c r="F228" s="10" t="n">
        <f aca="false">MAX(C228-E228,0)</f>
        <v>16386.4287553802</v>
      </c>
    </row>
    <row r="229" customFormat="false" ht="15" hidden="false" customHeight="true" outlineLevel="0" collapsed="false">
      <c r="A229" s="33" t="n">
        <v>225</v>
      </c>
      <c r="B229" s="33" t="n">
        <v>19</v>
      </c>
      <c r="C229" s="10" t="n">
        <f aca="false">F228</f>
        <v>16386.4287553802</v>
      </c>
      <c r="D229" s="34" t="n">
        <f aca="false">IF(C229&gt;0,C229*Paramètres!B21/12,0)</f>
        <v>47.7937505365255</v>
      </c>
      <c r="E229" s="34" t="n">
        <f aca="false">IF(C229&gt;0,MIN(Paramètres!B23-D229,C229),0)</f>
        <v>1001.93333901287</v>
      </c>
      <c r="F229" s="10" t="n">
        <f aca="false">MAX(C229-E229,0)</f>
        <v>15384.4954163673</v>
      </c>
    </row>
    <row r="230" customFormat="false" ht="15" hidden="false" customHeight="true" outlineLevel="0" collapsed="false">
      <c r="A230" s="33" t="n">
        <v>226</v>
      </c>
      <c r="B230" s="33" t="n">
        <v>19</v>
      </c>
      <c r="C230" s="10" t="n">
        <f aca="false">F229</f>
        <v>15384.4954163673</v>
      </c>
      <c r="D230" s="34" t="n">
        <f aca="false">IF(C230&gt;0,C230*Paramètres!B21/12,0)</f>
        <v>44.8714449644046</v>
      </c>
      <c r="E230" s="34" t="n">
        <f aca="false">IF(C230&gt;0,MIN(Paramètres!B23-D230,C230),0)</f>
        <v>1004.85564458499</v>
      </c>
      <c r="F230" s="10" t="n">
        <f aca="false">MAX(C230-E230,0)</f>
        <v>14379.6397717823</v>
      </c>
    </row>
    <row r="231" customFormat="false" ht="15" hidden="false" customHeight="true" outlineLevel="0" collapsed="false">
      <c r="A231" s="33" t="n">
        <v>227</v>
      </c>
      <c r="B231" s="33" t="n">
        <v>19</v>
      </c>
      <c r="C231" s="10" t="n">
        <f aca="false">F230</f>
        <v>14379.6397717823</v>
      </c>
      <c r="D231" s="34" t="n">
        <f aca="false">IF(C231&gt;0,C231*Paramètres!B21/12,0)</f>
        <v>41.9406160010317</v>
      </c>
      <c r="E231" s="34" t="n">
        <f aca="false">IF(C231&gt;0,MIN(Paramètres!B23-D231,C231),0)</f>
        <v>1007.78647354836</v>
      </c>
      <c r="F231" s="10" t="n">
        <f aca="false">MAX(C231-E231,0)</f>
        <v>13371.8532982339</v>
      </c>
    </row>
    <row r="232" customFormat="false" ht="15" hidden="false" customHeight="true" outlineLevel="0" collapsed="false">
      <c r="A232" s="33" t="n">
        <v>228</v>
      </c>
      <c r="B232" s="33" t="n">
        <v>19</v>
      </c>
      <c r="C232" s="10" t="n">
        <f aca="false">F231</f>
        <v>13371.8532982339</v>
      </c>
      <c r="D232" s="34" t="n">
        <f aca="false">IF(C232&gt;0,C232*Paramètres!B21/12,0)</f>
        <v>39.0012387865156</v>
      </c>
      <c r="E232" s="34" t="n">
        <f aca="false">IF(C232&gt;0,MIN(Paramètres!B23-D232,C232),0)</f>
        <v>1010.72585076288</v>
      </c>
      <c r="F232" s="10" t="n">
        <f aca="false">MAX(C232-E232,0)</f>
        <v>12361.127447471</v>
      </c>
    </row>
    <row r="233" customFormat="false" ht="15" hidden="false" customHeight="true" outlineLevel="0" collapsed="false">
      <c r="A233" s="33" t="n">
        <v>229</v>
      </c>
      <c r="B233" s="33" t="n">
        <v>20</v>
      </c>
      <c r="C233" s="35" t="n">
        <f aca="false">F232</f>
        <v>12361.127447471</v>
      </c>
      <c r="D233" s="36" t="n">
        <f aca="false">IF(C233&gt;0,C233*Paramètres!B21/12,0)</f>
        <v>36.0532883884572</v>
      </c>
      <c r="E233" s="36" t="n">
        <f aca="false">IF(C233&gt;0,MIN(Paramètres!B23-D233,C233),0)</f>
        <v>1013.67380116094</v>
      </c>
      <c r="F233" s="35" t="n">
        <f aca="false">MAX(C233-E233,0)</f>
        <v>11347.4536463101</v>
      </c>
    </row>
    <row r="234" customFormat="false" ht="15" hidden="false" customHeight="true" outlineLevel="0" collapsed="false">
      <c r="A234" s="33" t="n">
        <v>230</v>
      </c>
      <c r="B234" s="33" t="n">
        <v>20</v>
      </c>
      <c r="C234" s="35" t="n">
        <f aca="false">F233</f>
        <v>11347.4536463101</v>
      </c>
      <c r="D234" s="36" t="n">
        <f aca="false">IF(C234&gt;0,C234*Paramètres!B21/12,0)</f>
        <v>33.0967398017378</v>
      </c>
      <c r="E234" s="36" t="n">
        <f aca="false">IF(C234&gt;0,MIN(Paramètres!B23-D234,C234),0)</f>
        <v>1016.63034974766</v>
      </c>
      <c r="F234" s="35" t="n">
        <f aca="false">MAX(C234-E234,0)</f>
        <v>10330.8232965624</v>
      </c>
    </row>
    <row r="235" customFormat="false" ht="15" hidden="false" customHeight="true" outlineLevel="0" collapsed="false">
      <c r="A235" s="33" t="n">
        <v>231</v>
      </c>
      <c r="B235" s="33" t="n">
        <v>20</v>
      </c>
      <c r="C235" s="35" t="n">
        <f aca="false">F234</f>
        <v>10330.8232965624</v>
      </c>
      <c r="D235" s="36" t="n">
        <f aca="false">IF(C235&gt;0,C235*Paramètres!B21/12,0)</f>
        <v>30.1315679483071</v>
      </c>
      <c r="E235" s="36" t="n">
        <f aca="false">IF(C235&gt;0,MIN(Paramètres!B23-D235,C235),0)</f>
        <v>1019.59552160109</v>
      </c>
      <c r="F235" s="35" t="n">
        <f aca="false">MAX(C235-E235,0)</f>
        <v>9311.22777496136</v>
      </c>
    </row>
    <row r="236" customFormat="false" ht="15" hidden="false" customHeight="true" outlineLevel="0" collapsed="false">
      <c r="A236" s="33" t="n">
        <v>232</v>
      </c>
      <c r="B236" s="33" t="n">
        <v>20</v>
      </c>
      <c r="C236" s="35" t="n">
        <f aca="false">F235</f>
        <v>9311.22777496136</v>
      </c>
      <c r="D236" s="36" t="n">
        <f aca="false">IF(C236&gt;0,C236*Paramètres!B21/12,0)</f>
        <v>27.1577476769706</v>
      </c>
      <c r="E236" s="36" t="n">
        <f aca="false">IF(C236&gt;0,MIN(Paramètres!B23-D236,C236),0)</f>
        <v>1022.56934187243</v>
      </c>
      <c r="F236" s="35" t="n">
        <f aca="false">MAX(C236-E236,0)</f>
        <v>8288.65843308893</v>
      </c>
    </row>
    <row r="237" customFormat="false" ht="15" hidden="false" customHeight="true" outlineLevel="0" collapsed="false">
      <c r="A237" s="33" t="n">
        <v>233</v>
      </c>
      <c r="B237" s="33" t="n">
        <v>20</v>
      </c>
      <c r="C237" s="35" t="n">
        <f aca="false">F236</f>
        <v>8288.65843308893</v>
      </c>
      <c r="D237" s="36" t="n">
        <f aca="false">IF(C237&gt;0,C237*Paramètres!B21/12,0)</f>
        <v>24.1752537631761</v>
      </c>
      <c r="E237" s="36" t="n">
        <f aca="false">IF(C237&gt;0,MIN(Paramètres!B23-D237,C237),0)</f>
        <v>1025.55183578622</v>
      </c>
      <c r="F237" s="35" t="n">
        <f aca="false">MAX(C237-E237,0)</f>
        <v>7263.10659730271</v>
      </c>
    </row>
    <row r="238" customFormat="false" ht="15" hidden="false" customHeight="true" outlineLevel="0" collapsed="false">
      <c r="A238" s="33" t="n">
        <v>234</v>
      </c>
      <c r="B238" s="33" t="n">
        <v>20</v>
      </c>
      <c r="C238" s="35" t="n">
        <f aca="false">F237</f>
        <v>7263.10659730271</v>
      </c>
      <c r="D238" s="36" t="n">
        <f aca="false">IF(C238&gt;0,C238*Paramètres!B21/12,0)</f>
        <v>21.1840609087996</v>
      </c>
      <c r="E238" s="36" t="n">
        <f aca="false">IF(C238&gt;0,MIN(Paramètres!B23-D238,C238),0)</f>
        <v>1028.5430286406</v>
      </c>
      <c r="F238" s="35" t="n">
        <f aca="false">MAX(C238-E238,0)</f>
        <v>6234.56356866212</v>
      </c>
    </row>
    <row r="239" customFormat="false" ht="15" hidden="false" customHeight="true" outlineLevel="0" collapsed="false">
      <c r="A239" s="33" t="n">
        <v>235</v>
      </c>
      <c r="B239" s="33" t="n">
        <v>20</v>
      </c>
      <c r="C239" s="35" t="n">
        <f aca="false">F238</f>
        <v>6234.56356866212</v>
      </c>
      <c r="D239" s="36" t="n">
        <f aca="false">IF(C239&gt;0,C239*Paramètres!B21/12,0)</f>
        <v>18.1841437419312</v>
      </c>
      <c r="E239" s="36" t="n">
        <f aca="false">IF(C239&gt;0,MIN(Paramètres!B23-D239,C239),0)</f>
        <v>1031.54294580747</v>
      </c>
      <c r="F239" s="35" t="n">
        <f aca="false">MAX(C239-E239,0)</f>
        <v>5203.02062285465</v>
      </c>
    </row>
    <row r="240" customFormat="false" ht="15" hidden="false" customHeight="true" outlineLevel="0" collapsed="false">
      <c r="A240" s="33" t="n">
        <v>236</v>
      </c>
      <c r="B240" s="33" t="n">
        <v>20</v>
      </c>
      <c r="C240" s="35" t="n">
        <f aca="false">F239</f>
        <v>5203.02062285465</v>
      </c>
      <c r="D240" s="36" t="n">
        <f aca="false">IF(C240&gt;0,C240*Paramètres!B21/12,0)</f>
        <v>15.1754768166594</v>
      </c>
      <c r="E240" s="36" t="n">
        <f aca="false">IF(C240&gt;0,MIN(Paramètres!B23-D240,C240),0)</f>
        <v>1034.55161273274</v>
      </c>
      <c r="F240" s="35" t="n">
        <f aca="false">MAX(C240-E240,0)</f>
        <v>4168.46901012192</v>
      </c>
    </row>
    <row r="241" customFormat="false" ht="15" hidden="false" customHeight="true" outlineLevel="0" collapsed="false">
      <c r="A241" s="33" t="n">
        <v>237</v>
      </c>
      <c r="B241" s="33" t="n">
        <v>20</v>
      </c>
      <c r="C241" s="35" t="n">
        <f aca="false">F240</f>
        <v>4168.46901012192</v>
      </c>
      <c r="D241" s="36" t="n">
        <f aca="false">IF(C241&gt;0,C241*Paramètres!B21/12,0)</f>
        <v>12.1580346128556</v>
      </c>
      <c r="E241" s="36" t="n">
        <f aca="false">IF(C241&gt;0,MIN(Paramètres!B23-D241,C241),0)</f>
        <v>1037.56905493654</v>
      </c>
      <c r="F241" s="35" t="n">
        <f aca="false">MAX(C241-E241,0)</f>
        <v>3130.89995518537</v>
      </c>
    </row>
    <row r="242" customFormat="false" ht="15" hidden="false" customHeight="true" outlineLevel="0" collapsed="false">
      <c r="A242" s="33" t="n">
        <v>238</v>
      </c>
      <c r="B242" s="33" t="n">
        <v>20</v>
      </c>
      <c r="C242" s="35" t="n">
        <f aca="false">F241</f>
        <v>3130.89995518537</v>
      </c>
      <c r="D242" s="36" t="n">
        <f aca="false">IF(C242&gt;0,C242*Paramètres!B21/12,0)</f>
        <v>9.13179153595734</v>
      </c>
      <c r="E242" s="36" t="n">
        <f aca="false">IF(C242&gt;0,MIN(Paramètres!B23-D242,C242),0)</f>
        <v>1040.59529801344</v>
      </c>
      <c r="F242" s="35" t="n">
        <f aca="false">MAX(C242-E242,0)</f>
        <v>2090.30465717194</v>
      </c>
    </row>
    <row r="243" customFormat="false" ht="15" hidden="false" customHeight="true" outlineLevel="0" collapsed="false">
      <c r="A243" s="33" t="n">
        <v>239</v>
      </c>
      <c r="B243" s="33" t="n">
        <v>20</v>
      </c>
      <c r="C243" s="35" t="n">
        <f aca="false">F242</f>
        <v>2090.30465717194</v>
      </c>
      <c r="D243" s="36" t="n">
        <f aca="false">IF(C243&gt;0,C243*Paramètres!B21/12,0)</f>
        <v>6.09672191675148</v>
      </c>
      <c r="E243" s="36" t="n">
        <f aca="false">IF(C243&gt;0,MIN(Paramètres!B23-D243,C243),0)</f>
        <v>1043.63036763264</v>
      </c>
      <c r="F243" s="35" t="n">
        <f aca="false">MAX(C243-E243,0)</f>
        <v>1046.67428953929</v>
      </c>
    </row>
    <row r="244" customFormat="false" ht="15" hidden="false" customHeight="true" outlineLevel="0" collapsed="false">
      <c r="A244" s="33" t="n">
        <v>240</v>
      </c>
      <c r="B244" s="33" t="n">
        <v>20</v>
      </c>
      <c r="C244" s="35" t="n">
        <f aca="false">F243</f>
        <v>1046.67428953929</v>
      </c>
      <c r="D244" s="36" t="n">
        <f aca="false">IF(C244&gt;0,C244*Paramètres!B21/12,0)</f>
        <v>3.05280001115626</v>
      </c>
      <c r="E244" s="36" t="n">
        <f aca="false">IF(C244&gt;0,MIN(Paramètres!B23-D244,C244),0)</f>
        <v>1046.67428953824</v>
      </c>
      <c r="F244" s="35" t="n">
        <f aca="false">MAX(C244-E244,0)</f>
        <v>1.05046638054773E-009</v>
      </c>
    </row>
  </sheetData>
  <mergeCells count="3">
    <mergeCell ref="A1:F1"/>
    <mergeCell ref="H1:I1"/>
    <mergeCell ref="H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36" activeCellId="0" sqref="A3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0" min="9" style="1" width="13"/>
  </cols>
  <sheetData>
    <row r="1" customFormat="false" ht="19.5" hidden="false" customHeight="true" outlineLevel="0" collapsed="false">
      <c r="A1" s="37" t="s">
        <v>84</v>
      </c>
      <c r="B1" s="37"/>
      <c r="C1" s="37"/>
      <c r="D1" s="37"/>
      <c r="E1" s="37"/>
      <c r="F1" s="37"/>
      <c r="G1" s="37"/>
      <c r="H1" s="37"/>
      <c r="I1" s="37"/>
      <c r="J1" s="37"/>
    </row>
    <row r="3" customFormat="false" ht="31.5" hidden="false" customHeight="true" outlineLevel="0" collapsed="false">
      <c r="A3" s="38" t="s">
        <v>76</v>
      </c>
      <c r="B3" s="38" t="s">
        <v>85</v>
      </c>
      <c r="C3" s="38" t="s">
        <v>86</v>
      </c>
      <c r="D3" s="38" t="s">
        <v>87</v>
      </c>
      <c r="E3" s="38" t="s">
        <v>88</v>
      </c>
      <c r="F3" s="38" t="s">
        <v>78</v>
      </c>
      <c r="G3" s="38" t="s">
        <v>89</v>
      </c>
      <c r="H3" s="38" t="s">
        <v>90</v>
      </c>
      <c r="I3" s="38" t="s">
        <v>91</v>
      </c>
      <c r="J3" s="38" t="s">
        <v>92</v>
      </c>
      <c r="K3" s="1" t="s">
        <v>93</v>
      </c>
      <c r="L3" s="1" t="s">
        <v>94</v>
      </c>
      <c r="M3" s="1" t="s">
        <v>95</v>
      </c>
      <c r="N3" s="1" t="s">
        <v>96</v>
      </c>
      <c r="O3" s="1" t="s">
        <v>97</v>
      </c>
      <c r="P3" s="1" t="s">
        <v>98</v>
      </c>
      <c r="Q3" s="1" t="s">
        <v>99</v>
      </c>
      <c r="R3" s="1" t="s">
        <v>100</v>
      </c>
    </row>
    <row r="4" customFormat="false" ht="15" hidden="false" customHeight="true" outlineLevel="0" collapsed="false">
      <c r="A4" s="31" t="s">
        <v>101</v>
      </c>
      <c r="J4" s="39" t="n">
        <f aca="false">-Paramètres!B10</f>
        <v>-40000</v>
      </c>
    </row>
    <row r="5" customFormat="false" ht="15" hidden="false" customHeight="true" outlineLevel="0" collapsed="false">
      <c r="A5" s="31" t="n">
        <v>1</v>
      </c>
      <c r="B5" s="40" t="n">
        <f aca="false">Paramètres!B27*12*(1+Paramètres!B28)^(1-1)</f>
        <v>9600</v>
      </c>
      <c r="C5" s="40" t="n">
        <f aca="false">B5*Paramètres!B29</f>
        <v>800</v>
      </c>
      <c r="D5" s="40" t="n">
        <f aca="false">B5-C5</f>
        <v>8800</v>
      </c>
      <c r="E5" s="40" t="n">
        <f aca="false">(Paramètres!B32+Paramètres!B33+Paramètres!B34)*(1+Paramètres!B37)^(1-1)</f>
        <v>2250</v>
      </c>
      <c r="F5" s="40" t="n">
        <f aca="false">'Amortissement crédit'!I4</f>
        <v>6233.56847206007</v>
      </c>
      <c r="G5" s="40" t="n">
        <f aca="false">IF(M5&lt;0,0,MAX(M5-K5,0))</f>
        <v>316.43152793993</v>
      </c>
      <c r="H5" s="40" t="n">
        <f aca="false">IF(M5&lt;0,-Q5*Paramètres!$B$50,G5*(Paramètres!$B$50+Paramètres!$B$51))</f>
        <v>149.355681187647</v>
      </c>
      <c r="I5" s="40" t="n">
        <f aca="false">D5-E5-H5-Paramètres!$B$24</f>
        <v>-6196.0807557804</v>
      </c>
      <c r="J5" s="40" t="n">
        <f aca="false">I5+IF(1=Paramètres!B12,Paramètres!B18-'Amortissement crédit'!J4-Paramètres!$B$75,0)</f>
        <v>-6196.0807557804</v>
      </c>
      <c r="K5" s="1" t="n">
        <f aca="false">0</f>
        <v>0</v>
      </c>
      <c r="L5" s="1" t="n">
        <f aca="false">IF(M5&lt;0,K5+R5,MAX(K5-M5,0))</f>
        <v>0</v>
      </c>
      <c r="M5" s="1" t="n">
        <f aca="false">D5-E5-F5</f>
        <v>316.43152793993</v>
      </c>
      <c r="N5" s="1" t="n">
        <f aca="false">IF(M5&lt;0,-M5,0)</f>
        <v>0</v>
      </c>
      <c r="O5" s="1" t="n">
        <f aca="false">IF(M5&lt;0,MAX(F5-D5,0),0)</f>
        <v>0</v>
      </c>
      <c r="P5" s="1" t="n">
        <f aca="false">N5-O5</f>
        <v>0</v>
      </c>
      <c r="Q5" s="1" t="n">
        <f aca="false">IF(M5&lt;0,MIN(P5,Paramètres!$B$81)*Paramètres!$B$82,0)</f>
        <v>0</v>
      </c>
      <c r="R5" s="1" t="n">
        <f aca="false">IF(M5&lt;0,N5-Q5,0)</f>
        <v>0</v>
      </c>
    </row>
    <row r="6" customFormat="false" ht="15" hidden="false" customHeight="true" outlineLevel="0" collapsed="false">
      <c r="A6" s="31" t="n">
        <v>2</v>
      </c>
      <c r="B6" s="40" t="n">
        <f aca="false">Paramètres!B27*12*(1+Paramètres!B28)^(2-1)</f>
        <v>9744</v>
      </c>
      <c r="C6" s="40" t="n">
        <f aca="false">B6*Paramètres!B29</f>
        <v>812</v>
      </c>
      <c r="D6" s="40" t="n">
        <f aca="false">B6-C6</f>
        <v>8932</v>
      </c>
      <c r="E6" s="40" t="n">
        <f aca="false">(Paramètres!B32+Paramètres!B33+Paramètres!B34)*(1+Paramètres!B37)^(2-1)</f>
        <v>2295</v>
      </c>
      <c r="F6" s="40" t="n">
        <f aca="false">'Amortissement crédit'!I5</f>
        <v>6007.25038058995</v>
      </c>
      <c r="G6" s="40" t="n">
        <f aca="false">IF(M6&lt;0,0,MAX(M6-K6,0))</f>
        <v>629.74961941005</v>
      </c>
      <c r="H6" s="40" t="n">
        <f aca="false">IF(M6&lt;0,-Q6*Paramètres!$B$50,G6*(Paramètres!$B$50+Paramètres!$B$51))</f>
        <v>297.241820361543</v>
      </c>
      <c r="I6" s="40" t="n">
        <f aca="false">D6-E6-H6-Paramètres!$B$24</f>
        <v>-6256.9668949543</v>
      </c>
      <c r="J6" s="40" t="n">
        <f aca="false">I6+IF(2=Paramètres!B12,Paramètres!B18-'Amortissement crédit'!J5-Paramètres!$B$75,0)</f>
        <v>-6256.9668949543</v>
      </c>
      <c r="K6" s="1" t="n">
        <f aca="false">L5</f>
        <v>0</v>
      </c>
      <c r="L6" s="1" t="n">
        <f aca="false">IF(M6&lt;0,K6+R6,MAX(K6-M6,0))</f>
        <v>0</v>
      </c>
      <c r="M6" s="1" t="n">
        <f aca="false">D6-E6-F6</f>
        <v>629.74961941005</v>
      </c>
      <c r="N6" s="1" t="n">
        <f aca="false">IF(M6&lt;0,-M6,0)</f>
        <v>0</v>
      </c>
      <c r="O6" s="1" t="n">
        <f aca="false">IF(M6&lt;0,MAX(F6-D6,0),0)</f>
        <v>0</v>
      </c>
      <c r="P6" s="1" t="n">
        <f aca="false">N6-O6</f>
        <v>0</v>
      </c>
      <c r="Q6" s="1" t="n">
        <f aca="false">IF(M6&lt;0,MIN(P6,Paramètres!$B$81)*Paramètres!$B$82,0)</f>
        <v>0</v>
      </c>
      <c r="R6" s="1" t="n">
        <f aca="false">IF(M6&lt;0,N6-Q6,0)</f>
        <v>0</v>
      </c>
    </row>
    <row r="7" customFormat="false" ht="15" hidden="false" customHeight="true" outlineLevel="0" collapsed="false">
      <c r="A7" s="31" t="n">
        <v>3</v>
      </c>
      <c r="B7" s="40" t="n">
        <f aca="false">Paramètres!B27*12*(1+Paramètres!B28)^(3-1)</f>
        <v>9890.16</v>
      </c>
      <c r="C7" s="40" t="n">
        <f aca="false">B7*Paramètres!B29</f>
        <v>824.18</v>
      </c>
      <c r="D7" s="40" t="n">
        <f aca="false">B7-C7</f>
        <v>9065.98</v>
      </c>
      <c r="E7" s="40" t="n">
        <f aca="false">(Paramètres!B32+Paramètres!B33+Paramètres!B34)*(1+Paramètres!B37)^(3-1)</f>
        <v>2340.9</v>
      </c>
      <c r="F7" s="40" t="n">
        <f aca="false">'Amortissement crédit'!I6</f>
        <v>5772.88284420969</v>
      </c>
      <c r="G7" s="40" t="n">
        <f aca="false">IF(M7&lt;0,0,MAX(M7-K7,0))</f>
        <v>952.19715579031</v>
      </c>
      <c r="H7" s="40" t="n">
        <f aca="false">IF(M7&lt;0,-Q7*Paramètres!$B$50,G7*(Paramètres!$B$50+Paramètres!$B$51))</f>
        <v>449.437057533026</v>
      </c>
      <c r="I7" s="40" t="n">
        <f aca="false">D7-E7-H7-Paramètres!$B$24</f>
        <v>-6321.08213212578</v>
      </c>
      <c r="J7" s="40" t="n">
        <f aca="false">I7+IF(3=Paramètres!B12,Paramètres!B18-'Amortissement crédit'!J6-Paramètres!$B$75,0)</f>
        <v>-6321.08213212578</v>
      </c>
      <c r="K7" s="1" t="n">
        <f aca="false">L6</f>
        <v>0</v>
      </c>
      <c r="L7" s="1" t="n">
        <f aca="false">IF(M7&lt;0,K7+R7,MAX(K7-M7,0))</f>
        <v>0</v>
      </c>
      <c r="M7" s="1" t="n">
        <f aca="false">D7-E7-F7</f>
        <v>952.19715579031</v>
      </c>
      <c r="N7" s="1" t="n">
        <f aca="false">IF(M7&lt;0,-M7,0)</f>
        <v>0</v>
      </c>
      <c r="O7" s="1" t="n">
        <f aca="false">IF(M7&lt;0,MAX(F7-D7,0),0)</f>
        <v>0</v>
      </c>
      <c r="P7" s="1" t="n">
        <f aca="false">N7-O7</f>
        <v>0</v>
      </c>
      <c r="Q7" s="1" t="n">
        <f aca="false">IF(M7&lt;0,MIN(P7,Paramètres!$B$81)*Paramètres!$B$82,0)</f>
        <v>0</v>
      </c>
      <c r="R7" s="1" t="n">
        <f aca="false">IF(M7&lt;0,N7-Q7,0)</f>
        <v>0</v>
      </c>
    </row>
    <row r="8" customFormat="false" ht="15" hidden="false" customHeight="true" outlineLevel="0" collapsed="false">
      <c r="A8" s="31" t="n">
        <v>4</v>
      </c>
      <c r="B8" s="40" t="n">
        <f aca="false">Paramètres!B27*12*(1+Paramètres!B28)^(4-1)</f>
        <v>10038.5124</v>
      </c>
      <c r="C8" s="40" t="n">
        <f aca="false">B8*Paramètres!B29</f>
        <v>836.542699999999</v>
      </c>
      <c r="D8" s="40" t="n">
        <f aca="false">B8-C8</f>
        <v>9201.9697</v>
      </c>
      <c r="E8" s="40" t="n">
        <f aca="false">(Paramètres!B32+Paramètres!B33+Paramètres!B34)*(1+Paramètres!B37)^(4-1)</f>
        <v>2387.718</v>
      </c>
      <c r="F8" s="40" t="n">
        <f aca="false">'Amortissement crédit'!I7</f>
        <v>5530.17956869093</v>
      </c>
      <c r="G8" s="40" t="n">
        <f aca="false">IF(M8&lt;0,0,MAX(M8-K8,0))</f>
        <v>1284.07213130907</v>
      </c>
      <c r="H8" s="40" t="n">
        <f aca="false">IF(M8&lt;0,-Q8*Paramètres!$B$50,G8*(Paramètres!$B$50+Paramètres!$B$51))</f>
        <v>606.08204597788</v>
      </c>
      <c r="I8" s="40" t="n">
        <f aca="false">D8-E8-H8-Paramètres!$B$24</f>
        <v>-6388.55542057064</v>
      </c>
      <c r="J8" s="40" t="n">
        <f aca="false">I8+IF(4=Paramètres!B12,Paramètres!B18-'Amortissement crédit'!J7-Paramètres!$B$75,0)</f>
        <v>-6388.55542057064</v>
      </c>
      <c r="K8" s="1" t="n">
        <f aca="false">L7</f>
        <v>0</v>
      </c>
      <c r="L8" s="1" t="n">
        <f aca="false">IF(M8&lt;0,K8+R8,MAX(K8-M8,0))</f>
        <v>0</v>
      </c>
      <c r="M8" s="1" t="n">
        <f aca="false">D8-E8-F8</f>
        <v>1284.07213130907</v>
      </c>
      <c r="N8" s="1" t="n">
        <f aca="false">IF(M8&lt;0,-M8,0)</f>
        <v>0</v>
      </c>
      <c r="O8" s="1" t="n">
        <f aca="false">IF(M8&lt;0,MAX(F8-D8,0),0)</f>
        <v>0</v>
      </c>
      <c r="P8" s="1" t="n">
        <f aca="false">N8-O8</f>
        <v>0</v>
      </c>
      <c r="Q8" s="1" t="n">
        <f aca="false">IF(M8&lt;0,MIN(P8,Paramètres!$B$81)*Paramètres!$B$82,0)</f>
        <v>0</v>
      </c>
      <c r="R8" s="1" t="n">
        <f aca="false">IF(M8&lt;0,N8-Q8,0)</f>
        <v>0</v>
      </c>
    </row>
    <row r="9" customFormat="false" ht="15" hidden="false" customHeight="true" outlineLevel="0" collapsed="false">
      <c r="A9" s="31" t="n">
        <v>5</v>
      </c>
      <c r="B9" s="40" t="n">
        <f aca="false">Paramètres!B27*12*(1+Paramètres!B28)^(5-1)</f>
        <v>10189.090086</v>
      </c>
      <c r="C9" s="40" t="n">
        <f aca="false">B9*Paramètres!B29</f>
        <v>849.090840499999</v>
      </c>
      <c r="D9" s="40" t="n">
        <f aca="false">B9-C9</f>
        <v>9339.9992455</v>
      </c>
      <c r="E9" s="40" t="n">
        <f aca="false">(Paramètres!B32+Paramètres!B33+Paramètres!B34)*(1+Paramètres!B37)^(5-1)</f>
        <v>2435.47236</v>
      </c>
      <c r="F9" s="40" t="n">
        <f aca="false">'Amortissement crédit'!I8</f>
        <v>5278.84407719196</v>
      </c>
      <c r="G9" s="40" t="n">
        <f aca="false">IF(M9&lt;0,0,MAX(M9-K9,0))</f>
        <v>1625.68280830804</v>
      </c>
      <c r="H9" s="40" t="n">
        <f aca="false">IF(M9&lt;0,-Q9*Paramètres!$B$50,G9*(Paramètres!$B$50+Paramètres!$B$51))</f>
        <v>767.322285521395</v>
      </c>
      <c r="I9" s="40" t="n">
        <f aca="false">D9-E9-H9-Paramètres!$B$24</f>
        <v>-6459.52047461415</v>
      </c>
      <c r="J9" s="40" t="n">
        <f aca="false">I9+IF(5=Paramètres!B12,Paramètres!B18-'Amortissement crédit'!J8-Paramètres!$B$75,0)</f>
        <v>-6459.52047461415</v>
      </c>
      <c r="K9" s="1" t="n">
        <f aca="false">L8</f>
        <v>0</v>
      </c>
      <c r="L9" s="1" t="n">
        <f aca="false">IF(M9&lt;0,K9+R9,MAX(K9-M9,0))</f>
        <v>0</v>
      </c>
      <c r="M9" s="1" t="n">
        <f aca="false">D9-E9-F9</f>
        <v>1625.68280830804</v>
      </c>
      <c r="N9" s="1" t="n">
        <f aca="false">IF(M9&lt;0,-M9,0)</f>
        <v>0</v>
      </c>
      <c r="O9" s="1" t="n">
        <f aca="false">IF(M9&lt;0,MAX(F9-D9,0),0)</f>
        <v>0</v>
      </c>
      <c r="P9" s="1" t="n">
        <f aca="false">N9-O9</f>
        <v>0</v>
      </c>
      <c r="Q9" s="1" t="n">
        <f aca="false">IF(M9&lt;0,MIN(P9,Paramètres!$B$81)*Paramètres!$B$82,0)</f>
        <v>0</v>
      </c>
      <c r="R9" s="1" t="n">
        <f aca="false">IF(M9&lt;0,N9-Q9,0)</f>
        <v>0</v>
      </c>
    </row>
    <row r="10" customFormat="false" ht="15" hidden="false" customHeight="true" outlineLevel="0" collapsed="false">
      <c r="A10" s="31" t="n">
        <v>6</v>
      </c>
      <c r="B10" s="40" t="n">
        <f aca="false">Paramètres!B27*12*(1+Paramètres!B28)^(6-1)</f>
        <v>10341.92643729</v>
      </c>
      <c r="C10" s="40" t="n">
        <f aca="false">B10*Paramètres!B29</f>
        <v>861.827203107499</v>
      </c>
      <c r="D10" s="40" t="n">
        <f aca="false">B10-C10</f>
        <v>9480.0992341825</v>
      </c>
      <c r="E10" s="40" t="n">
        <f aca="false">(Paramètres!B32+Paramètres!B33+Paramètres!B34)*(1+Paramètres!B37)^(6-1)</f>
        <v>2484.1818072</v>
      </c>
      <c r="F10" s="40" t="n">
        <f aca="false">'Amortissement crédit'!I9</f>
        <v>5018.56934809319</v>
      </c>
      <c r="G10" s="40" t="n">
        <f aca="false">IF(M10&lt;0,0,MAX(M10-K10,0))</f>
        <v>1977.3480788893</v>
      </c>
      <c r="H10" s="40" t="n">
        <f aca="false">IF(M10&lt;0,-Q10*Paramètres!$B$50,G10*(Paramètres!$B$50+Paramètres!$B$51))</f>
        <v>933.308293235751</v>
      </c>
      <c r="I10" s="40" t="n">
        <f aca="false">D10-E10-H10-Paramètres!$B$24</f>
        <v>-6534.11594084601</v>
      </c>
      <c r="J10" s="40" t="n">
        <f aca="false">I10+IF(6=Paramètres!B12,Paramètres!B18-'Amortissement crédit'!J9-Paramètres!$B$75,0)</f>
        <v>-6534.11594084601</v>
      </c>
      <c r="K10" s="1" t="n">
        <f aca="false">L9</f>
        <v>0</v>
      </c>
      <c r="L10" s="1" t="n">
        <f aca="false">IF(M10&lt;0,K10+R10,MAX(K10-M10,0))</f>
        <v>0</v>
      </c>
      <c r="M10" s="1" t="n">
        <f aca="false">D10-E10-F10</f>
        <v>1977.3480788893</v>
      </c>
      <c r="N10" s="1" t="n">
        <f aca="false">IF(M10&lt;0,-M10,0)</f>
        <v>0</v>
      </c>
      <c r="O10" s="1" t="n">
        <f aca="false">IF(M10&lt;0,MAX(F10-D10,0),0)</f>
        <v>0</v>
      </c>
      <c r="P10" s="1" t="n">
        <f aca="false">N10-O10</f>
        <v>0</v>
      </c>
      <c r="Q10" s="1" t="n">
        <f aca="false">IF(M10&lt;0,MIN(P10,Paramètres!$B$81)*Paramètres!$B$82,0)</f>
        <v>0</v>
      </c>
      <c r="R10" s="1" t="n">
        <f aca="false">IF(M10&lt;0,N10-Q10,0)</f>
        <v>0</v>
      </c>
    </row>
    <row r="11" customFormat="false" ht="15" hidden="false" customHeight="true" outlineLevel="0" collapsed="false">
      <c r="A11" s="31" t="n">
        <v>7</v>
      </c>
      <c r="B11" s="40" t="n">
        <f aca="false">Paramètres!B27*12*(1+Paramètres!B28)^(7-1)</f>
        <v>10497.0553338493</v>
      </c>
      <c r="C11" s="40" t="n">
        <f aca="false">B11*Paramètres!B29</f>
        <v>874.754611154112</v>
      </c>
      <c r="D11" s="40" t="n">
        <f aca="false">B11-C11</f>
        <v>9622.30072269523</v>
      </c>
      <c r="E11" s="40" t="n">
        <f aca="false">(Paramètres!B32+Paramètres!B33+Paramètres!B34)*(1+Paramètres!B37)^(7-1)</f>
        <v>2533.865443344</v>
      </c>
      <c r="F11" s="40" t="n">
        <f aca="false">'Amortissement crédit'!I10</f>
        <v>4749.03743995155</v>
      </c>
      <c r="G11" s="40" t="n">
        <f aca="false">IF(M11&lt;0,0,MAX(M11-K11,0))</f>
        <v>2339.39783939969</v>
      </c>
      <c r="H11" s="40" t="n">
        <f aca="false">IF(M11&lt;0,-Q11*Paramètres!$B$50,G11*(Paramètres!$B$50+Paramètres!$B$51))</f>
        <v>1104.19578019665</v>
      </c>
      <c r="I11" s="40" t="n">
        <f aca="false">D11-E11-H11-Paramètres!$B$24</f>
        <v>-6612.48557543818</v>
      </c>
      <c r="J11" s="40" t="n">
        <f aca="false">I11+IF(7=Paramètres!B12,Paramètres!B18-'Amortissement crédit'!J10-Paramètres!$B$75,0)</f>
        <v>-6612.48557543818</v>
      </c>
      <c r="K11" s="1" t="n">
        <f aca="false">L10</f>
        <v>0</v>
      </c>
      <c r="L11" s="1" t="n">
        <f aca="false">IF(M11&lt;0,K11+R11,MAX(K11-M11,0))</f>
        <v>0</v>
      </c>
      <c r="M11" s="1" t="n">
        <f aca="false">D11-E11-F11</f>
        <v>2339.39783939969</v>
      </c>
      <c r="N11" s="1" t="n">
        <f aca="false">IF(M11&lt;0,-M11,0)</f>
        <v>0</v>
      </c>
      <c r="O11" s="1" t="n">
        <f aca="false">IF(M11&lt;0,MAX(F11-D11,0),0)</f>
        <v>0</v>
      </c>
      <c r="P11" s="1" t="n">
        <f aca="false">N11-O11</f>
        <v>0</v>
      </c>
      <c r="Q11" s="1" t="n">
        <f aca="false">IF(M11&lt;0,MIN(P11,Paramètres!$B$81)*Paramètres!$B$82,0)</f>
        <v>0</v>
      </c>
      <c r="R11" s="1" t="n">
        <f aca="false">IF(M11&lt;0,N11-Q11,0)</f>
        <v>0</v>
      </c>
    </row>
    <row r="12" customFormat="false" ht="15" hidden="false" customHeight="true" outlineLevel="0" collapsed="false">
      <c r="A12" s="31" t="n">
        <v>8</v>
      </c>
      <c r="B12" s="40" t="n">
        <f aca="false">Paramètres!B27*12*(1+Paramètres!B28)^(8-1)</f>
        <v>10654.5111638571</v>
      </c>
      <c r="C12" s="40" t="n">
        <f aca="false">B12*Paramètres!B29</f>
        <v>887.875930321423</v>
      </c>
      <c r="D12" s="40" t="n">
        <f aca="false">B12-C12</f>
        <v>9766.63523353566</v>
      </c>
      <c r="E12" s="40" t="n">
        <f aca="false">(Paramètres!B32+Paramètres!B33+Paramètres!B34)*(1+Paramètres!B37)^(8-1)</f>
        <v>2584.54275221088</v>
      </c>
      <c r="F12" s="40" t="n">
        <f aca="false">'Amortissement crédit'!I11</f>
        <v>4469.91910311559</v>
      </c>
      <c r="G12" s="40" t="n">
        <f aca="false">IF(M12&lt;0,0,MAX(M12-K12,0))</f>
        <v>2712.17337820919</v>
      </c>
      <c r="H12" s="40" t="n">
        <f aca="false">IF(M12&lt;0,-Q12*Paramètres!$B$50,G12*(Paramètres!$B$50+Paramètres!$B$51))</f>
        <v>1280.14583451474</v>
      </c>
      <c r="I12" s="40" t="n">
        <f aca="false">D12-E12-H12-Paramètres!$B$24</f>
        <v>-6694.77842778271</v>
      </c>
      <c r="J12" s="40" t="n">
        <f aca="false">I12+IF(8=Paramètres!B12,Paramètres!B18-'Amortissement crédit'!J11-Paramètres!$B$75,0)</f>
        <v>-6694.77842778271</v>
      </c>
      <c r="K12" s="1" t="n">
        <f aca="false">L11</f>
        <v>0</v>
      </c>
      <c r="L12" s="1" t="n">
        <f aca="false">IF(M12&lt;0,K12+R12,MAX(K12-M12,0))</f>
        <v>0</v>
      </c>
      <c r="M12" s="1" t="n">
        <f aca="false">D12-E12-F12</f>
        <v>2712.17337820919</v>
      </c>
      <c r="N12" s="1" t="n">
        <f aca="false">IF(M12&lt;0,-M12,0)</f>
        <v>0</v>
      </c>
      <c r="O12" s="1" t="n">
        <f aca="false">IF(M12&lt;0,MAX(F12-D12,0),0)</f>
        <v>0</v>
      </c>
      <c r="P12" s="1" t="n">
        <f aca="false">N12-O12</f>
        <v>0</v>
      </c>
      <c r="Q12" s="1" t="n">
        <f aca="false">IF(M12&lt;0,MIN(P12,Paramètres!$B$81)*Paramètres!$B$82,0)</f>
        <v>0</v>
      </c>
      <c r="R12" s="1" t="n">
        <f aca="false">IF(M12&lt;0,N12-Q12,0)</f>
        <v>0</v>
      </c>
    </row>
    <row r="13" customFormat="false" ht="15" hidden="false" customHeight="true" outlineLevel="0" collapsed="false">
      <c r="A13" s="31" t="n">
        <v>9</v>
      </c>
      <c r="B13" s="40" t="n">
        <f aca="false">Paramètres!B27*12*(1+Paramètres!B28)^(9-1)</f>
        <v>10814.3288313149</v>
      </c>
      <c r="C13" s="40" t="n">
        <f aca="false">B13*Paramètres!B29</f>
        <v>901.194069276245</v>
      </c>
      <c r="D13" s="40" t="n">
        <f aca="false">B13-C13</f>
        <v>9913.1347620387</v>
      </c>
      <c r="E13" s="40" t="n">
        <f aca="false">(Paramètres!B32+Paramètres!B33+Paramètres!B34)*(1+Paramètres!B37)^(9-1)</f>
        <v>2636.2336072551</v>
      </c>
      <c r="F13" s="40" t="n">
        <f aca="false">'Amortissement crédit'!I12</f>
        <v>4180.87337752703</v>
      </c>
      <c r="G13" s="40" t="n">
        <f aca="false">IF(M13&lt;0,0,MAX(M13-K13,0))</f>
        <v>3096.02777725657</v>
      </c>
      <c r="H13" s="40" t="n">
        <f aca="false">IF(M13&lt;0,-Q13*Paramètres!$B$50,G13*(Paramètres!$B$50+Paramètres!$B$51))</f>
        <v>1461.3251108651</v>
      </c>
      <c r="I13" s="40" t="n">
        <f aca="false">D13-E13-H13-Paramètres!$B$24</f>
        <v>-6781.14903067426</v>
      </c>
      <c r="J13" s="40" t="n">
        <f aca="false">I13+IF(9=Paramètres!B12,Paramètres!B18-'Amortissement crédit'!J12-Paramètres!$B$75,0)</f>
        <v>-6781.14903067426</v>
      </c>
      <c r="K13" s="1" t="n">
        <f aca="false">L12</f>
        <v>0</v>
      </c>
      <c r="L13" s="1" t="n">
        <f aca="false">IF(M13&lt;0,K13+R13,MAX(K13-M13,0))</f>
        <v>0</v>
      </c>
      <c r="M13" s="1" t="n">
        <f aca="false">D13-E13-F13</f>
        <v>3096.02777725657</v>
      </c>
      <c r="N13" s="1" t="n">
        <f aca="false">IF(M13&lt;0,-M13,0)</f>
        <v>0</v>
      </c>
      <c r="O13" s="1" t="n">
        <f aca="false">IF(M13&lt;0,MAX(F13-D13,0),0)</f>
        <v>0</v>
      </c>
      <c r="P13" s="1" t="n">
        <f aca="false">N13-O13</f>
        <v>0</v>
      </c>
      <c r="Q13" s="1" t="n">
        <f aca="false">IF(M13&lt;0,MIN(P13,Paramètres!$B$81)*Paramètres!$B$82,0)</f>
        <v>0</v>
      </c>
      <c r="R13" s="1" t="n">
        <f aca="false">IF(M13&lt;0,N13-Q13,0)</f>
        <v>0</v>
      </c>
    </row>
    <row r="14" customFormat="false" ht="15" hidden="false" customHeight="true" outlineLevel="0" collapsed="false">
      <c r="A14" s="31" t="n">
        <v>10</v>
      </c>
      <c r="B14" s="40" t="n">
        <f aca="false">Paramètres!B27*12*(1+Paramètres!B28)^(10-1)</f>
        <v>10976.5437637847</v>
      </c>
      <c r="C14" s="40" t="n">
        <f aca="false">B14*Paramètres!B29</f>
        <v>914.711980315388</v>
      </c>
      <c r="D14" s="40" t="n">
        <f aca="false">B14-C14</f>
        <v>10061.8317834693</v>
      </c>
      <c r="E14" s="40" t="n">
        <f aca="false">(Paramètres!B32+Paramètres!B33+Paramètres!B34)*(1+Paramètres!B37)^(10-1)</f>
        <v>2688.9582794002</v>
      </c>
      <c r="F14" s="40" t="n">
        <f aca="false">'Amortissement crédit'!I13</f>
        <v>3881.54717621722</v>
      </c>
      <c r="G14" s="40" t="n">
        <f aca="false">IF(M14&lt;0,0,MAX(M14-K14,0))</f>
        <v>3491.32632785185</v>
      </c>
      <c r="H14" s="40" t="n">
        <f aca="false">IF(M14&lt;0,-Q14*Paramètres!$B$50,G14*(Paramètres!$B$50+Paramètres!$B$51))</f>
        <v>1647.90602674607</v>
      </c>
      <c r="I14" s="40" t="n">
        <f aca="false">D14-E14-H14-Paramètres!$B$24</f>
        <v>-6871.75759726975</v>
      </c>
      <c r="J14" s="40" t="n">
        <f aca="false">I14+IF(10=Paramètres!B12,Paramètres!B18-'Amortissement crédit'!J13-Paramètres!$B$75,0)</f>
        <v>-6871.75759726975</v>
      </c>
      <c r="K14" s="1" t="n">
        <f aca="false">L13</f>
        <v>0</v>
      </c>
      <c r="L14" s="1" t="n">
        <f aca="false">IF(M14&lt;0,K14+R14,MAX(K14-M14,0))</f>
        <v>0</v>
      </c>
      <c r="M14" s="1" t="n">
        <f aca="false">D14-E14-F14</f>
        <v>3491.32632785185</v>
      </c>
      <c r="N14" s="1" t="n">
        <f aca="false">IF(M14&lt;0,-M14,0)</f>
        <v>0</v>
      </c>
      <c r="O14" s="1" t="n">
        <f aca="false">IF(M14&lt;0,MAX(F14-D14,0),0)</f>
        <v>0</v>
      </c>
      <c r="P14" s="1" t="n">
        <f aca="false">N14-O14</f>
        <v>0</v>
      </c>
      <c r="Q14" s="1" t="n">
        <f aca="false">IF(M14&lt;0,MIN(P14,Paramètres!$B$81)*Paramètres!$B$82,0)</f>
        <v>0</v>
      </c>
      <c r="R14" s="1" t="n">
        <f aca="false">IF(M14&lt;0,N14-Q14,0)</f>
        <v>0</v>
      </c>
    </row>
    <row r="15" customFormat="false" ht="15" hidden="false" customHeight="true" outlineLevel="0" collapsed="false">
      <c r="A15" s="31" t="n">
        <v>11</v>
      </c>
      <c r="B15" s="40" t="n">
        <f aca="false">Paramètres!B27*12*(1+Paramètres!B28)^(11-1)</f>
        <v>11141.1919202414</v>
      </c>
      <c r="C15" s="40" t="n">
        <f aca="false">B15*Paramètres!B29</f>
        <v>928.432660020119</v>
      </c>
      <c r="D15" s="40" t="n">
        <f aca="false">B15-C15</f>
        <v>10212.7592602213</v>
      </c>
      <c r="E15" s="40" t="n">
        <f aca="false">(Paramètres!B32+Paramètres!B33+Paramètres!B34)*(1+Paramètres!B37)^(11-1)</f>
        <v>2742.7374449882</v>
      </c>
      <c r="F15" s="40" t="n">
        <f aca="false">'Amortissement crédit'!I14</f>
        <v>3571.57485398994</v>
      </c>
      <c r="G15" s="40" t="n">
        <f aca="false">IF(M15&lt;0,0,MAX(M15-K15,0))</f>
        <v>3898.44696124317</v>
      </c>
      <c r="H15" s="40" t="n">
        <f aca="false">IF(M15&lt;0,-Q15*Paramètres!$B$50,G15*(Paramètres!$B$50+Paramètres!$B$51))</f>
        <v>1840.06696570678</v>
      </c>
      <c r="I15" s="40" t="n">
        <f aca="false">D15-E15-H15-Paramètres!$B$24</f>
        <v>-6966.77022506642</v>
      </c>
      <c r="J15" s="40" t="n">
        <f aca="false">I15+IF(11=Paramètres!B12,Paramètres!B18-'Amortissement crédit'!J14-Paramètres!$B$75,0)</f>
        <v>-6966.77022506642</v>
      </c>
      <c r="K15" s="1" t="n">
        <f aca="false">L14</f>
        <v>0</v>
      </c>
      <c r="L15" s="1" t="n">
        <f aca="false">IF(M15&lt;0,K15+R15,MAX(K15-M15,0))</f>
        <v>0</v>
      </c>
      <c r="M15" s="1" t="n">
        <f aca="false">D15-E15-F15</f>
        <v>3898.44696124317</v>
      </c>
      <c r="N15" s="1" t="n">
        <f aca="false">IF(M15&lt;0,-M15,0)</f>
        <v>0</v>
      </c>
      <c r="O15" s="1" t="n">
        <f aca="false">IF(M15&lt;0,MAX(F15-D15,0),0)</f>
        <v>0</v>
      </c>
      <c r="P15" s="1" t="n">
        <f aca="false">N15-O15</f>
        <v>0</v>
      </c>
      <c r="Q15" s="1" t="n">
        <f aca="false">IF(M15&lt;0,MIN(P15,Paramètres!$B$81)*Paramètres!$B$82,0)</f>
        <v>0</v>
      </c>
      <c r="R15" s="1" t="n">
        <f aca="false">IF(M15&lt;0,N15-Q15,0)</f>
        <v>0</v>
      </c>
    </row>
    <row r="16" customFormat="false" ht="15" hidden="false" customHeight="true" outlineLevel="0" collapsed="false">
      <c r="A16" s="31" t="n">
        <v>12</v>
      </c>
      <c r="B16" s="40" t="n">
        <f aca="false">Paramètres!B27*12*(1+Paramètres!B28)^(12-1)</f>
        <v>11308.3097990451</v>
      </c>
      <c r="C16" s="40" t="n">
        <f aca="false">B16*Paramètres!B29</f>
        <v>942.359149920421</v>
      </c>
      <c r="D16" s="40" t="n">
        <f aca="false">B16-C16</f>
        <v>10365.9506491246</v>
      </c>
      <c r="E16" s="40" t="n">
        <f aca="false">(Paramètres!B32+Paramètres!B33+Paramètres!B34)*(1+Paramètres!B37)^(12-1)</f>
        <v>2797.59219388797</v>
      </c>
      <c r="F16" s="40" t="n">
        <f aca="false">'Amortissement crédit'!I15</f>
        <v>3250.57776076344</v>
      </c>
      <c r="G16" s="40" t="n">
        <f aca="false">IF(M16&lt;0,0,MAX(M16-K16,0))</f>
        <v>4317.78069447322</v>
      </c>
      <c r="H16" s="40" t="n">
        <f aca="false">IF(M16&lt;0,-Q16*Paramètres!$B$50,G16*(Paramètres!$B$50+Paramètres!$B$51))</f>
        <v>2037.99248779136</v>
      </c>
      <c r="I16" s="40" t="n">
        <f aca="false">D16-E16-H16-Paramètres!$B$24</f>
        <v>-7066.35910714745</v>
      </c>
      <c r="J16" s="40" t="n">
        <f aca="false">I16+IF(12=Paramètres!B12,Paramètres!B18-'Amortissement crédit'!J15-Paramètres!$B$75,0)</f>
        <v>-7066.35910714745</v>
      </c>
      <c r="K16" s="1" t="n">
        <f aca="false">L15</f>
        <v>0</v>
      </c>
      <c r="L16" s="1" t="n">
        <f aca="false">IF(M16&lt;0,K16+R16,MAX(K16-M16,0))</f>
        <v>0</v>
      </c>
      <c r="M16" s="1" t="n">
        <f aca="false">D16-E16-F16</f>
        <v>4317.78069447322</v>
      </c>
      <c r="N16" s="1" t="n">
        <f aca="false">IF(M16&lt;0,-M16,0)</f>
        <v>0</v>
      </c>
      <c r="O16" s="1" t="n">
        <f aca="false">IF(M16&lt;0,MAX(F16-D16,0),0)</f>
        <v>0</v>
      </c>
      <c r="P16" s="1" t="n">
        <f aca="false">N16-O16</f>
        <v>0</v>
      </c>
      <c r="Q16" s="1" t="n">
        <f aca="false">IF(M16&lt;0,MIN(P16,Paramètres!$B$81)*Paramètres!$B$82,0)</f>
        <v>0</v>
      </c>
      <c r="R16" s="1" t="n">
        <f aca="false">IF(M16&lt;0,N16-Q16,0)</f>
        <v>0</v>
      </c>
    </row>
    <row r="17" customFormat="false" ht="15" hidden="false" customHeight="true" outlineLevel="0" collapsed="false">
      <c r="A17" s="31" t="n">
        <v>13</v>
      </c>
      <c r="B17" s="40" t="n">
        <f aca="false">Paramètres!B27*12*(1+Paramètres!B28)^(13-1)</f>
        <v>11477.9344460307</v>
      </c>
      <c r="C17" s="40" t="n">
        <f aca="false">B17*Paramètres!B29</f>
        <v>956.494537169227</v>
      </c>
      <c r="D17" s="40" t="n">
        <f aca="false">B17-C17</f>
        <v>10521.4399088615</v>
      </c>
      <c r="E17" s="40" t="n">
        <f aca="false">(Paramètres!B32+Paramètres!B33+Paramètres!B34)*(1+Paramètres!B37)^(13-1)</f>
        <v>2853.54403776573</v>
      </c>
      <c r="F17" s="40" t="n">
        <f aca="false">'Amortissement crédit'!I16</f>
        <v>2918.16377902637</v>
      </c>
      <c r="G17" s="40" t="n">
        <f aca="false">IF(M17&lt;0,0,MAX(M17-K17,0))</f>
        <v>4749.7320920694</v>
      </c>
      <c r="H17" s="40" t="n">
        <f aca="false">IF(M17&lt;0,-Q17*Paramètres!$B$50,G17*(Paramètres!$B$50+Paramètres!$B$51))</f>
        <v>2241.87354745676</v>
      </c>
      <c r="I17" s="40" t="n">
        <f aca="false">D17-E17-H17-Paramètres!$B$24</f>
        <v>-7170.70275095374</v>
      </c>
      <c r="J17" s="40" t="n">
        <f aca="false">I17+IF(13=Paramètres!B12,Paramètres!B18-'Amortissement crédit'!J16-Paramètres!$B$75,0)</f>
        <v>-7170.70275095374</v>
      </c>
      <c r="K17" s="1" t="n">
        <f aca="false">L16</f>
        <v>0</v>
      </c>
      <c r="L17" s="1" t="n">
        <f aca="false">IF(M17&lt;0,K17+R17,MAX(K17-M17,0))</f>
        <v>0</v>
      </c>
      <c r="M17" s="1" t="n">
        <f aca="false">D17-E17-F17</f>
        <v>4749.7320920694</v>
      </c>
      <c r="N17" s="1" t="n">
        <f aca="false">IF(M17&lt;0,-M17,0)</f>
        <v>0</v>
      </c>
      <c r="O17" s="1" t="n">
        <f aca="false">IF(M17&lt;0,MAX(F17-D17,0),0)</f>
        <v>0</v>
      </c>
      <c r="P17" s="1" t="n">
        <f aca="false">N17-O17</f>
        <v>0</v>
      </c>
      <c r="Q17" s="1" t="n">
        <f aca="false">IF(M17&lt;0,MIN(P17,Paramètres!$B$81)*Paramètres!$B$82,0)</f>
        <v>0</v>
      </c>
      <c r="R17" s="1" t="n">
        <f aca="false">IF(M17&lt;0,N17-Q17,0)</f>
        <v>0</v>
      </c>
    </row>
    <row r="18" customFormat="false" ht="15" hidden="false" customHeight="true" outlineLevel="0" collapsed="false">
      <c r="A18" s="31" t="n">
        <v>14</v>
      </c>
      <c r="B18" s="40" t="n">
        <f aca="false">Paramètres!B27*12*(1+Paramètres!B28)^(14-1)</f>
        <v>11650.1034627212</v>
      </c>
      <c r="C18" s="40" t="n">
        <f aca="false">B18*Paramètres!B29</f>
        <v>970.841955226765</v>
      </c>
      <c r="D18" s="40" t="n">
        <f aca="false">B18-C18</f>
        <v>10679.2615074944</v>
      </c>
      <c r="E18" s="40" t="n">
        <f aca="false">(Paramètres!B32+Paramètres!B33+Paramètres!B34)*(1+Paramètres!B37)^(14-1)</f>
        <v>2910.61491852104</v>
      </c>
      <c r="F18" s="40" t="n">
        <f aca="false">'Amortissement crédit'!I17</f>
        <v>2573.92684484227</v>
      </c>
      <c r="G18" s="40" t="n">
        <f aca="false">IF(M18&lt;0,0,MAX(M18-K18,0))</f>
        <v>5194.71974413111</v>
      </c>
      <c r="H18" s="40" t="n">
        <f aca="false">IF(M18&lt;0,-Q18*Paramètres!$B$50,G18*(Paramètres!$B$50+Paramètres!$B$51))</f>
        <v>2451.90771922988</v>
      </c>
      <c r="I18" s="40" t="n">
        <f aca="false">D18-E18-H18-Paramètres!$B$24</f>
        <v>-7279.98620484926</v>
      </c>
      <c r="J18" s="40" t="n">
        <f aca="false">I18+IF(14=Paramètres!B12,Paramètres!B18-'Amortissement crédit'!J17-Paramètres!$B$75,0)</f>
        <v>-7279.98620484926</v>
      </c>
      <c r="K18" s="1" t="n">
        <f aca="false">L17</f>
        <v>0</v>
      </c>
      <c r="L18" s="1" t="n">
        <f aca="false">IF(M18&lt;0,K18+R18,MAX(K18-M18,0))</f>
        <v>0</v>
      </c>
      <c r="M18" s="1" t="n">
        <f aca="false">D18-E18-F18</f>
        <v>5194.71974413111</v>
      </c>
      <c r="N18" s="1" t="n">
        <f aca="false">IF(M18&lt;0,-M18,0)</f>
        <v>0</v>
      </c>
      <c r="O18" s="1" t="n">
        <f aca="false">IF(M18&lt;0,MAX(F18-D18,0),0)</f>
        <v>0</v>
      </c>
      <c r="P18" s="1" t="n">
        <f aca="false">N18-O18</f>
        <v>0</v>
      </c>
      <c r="Q18" s="1" t="n">
        <f aca="false">IF(M18&lt;0,MIN(P18,Paramètres!$B$81)*Paramètres!$B$82,0)</f>
        <v>0</v>
      </c>
      <c r="R18" s="1" t="n">
        <f aca="false">IF(M18&lt;0,N18-Q18,0)</f>
        <v>0</v>
      </c>
    </row>
    <row r="19" customFormat="false" ht="15" hidden="false" customHeight="true" outlineLevel="0" collapsed="false">
      <c r="A19" s="31" t="n">
        <v>15</v>
      </c>
      <c r="B19" s="40" t="n">
        <f aca="false">Paramètres!B27*12*(1+Paramètres!B28)^(15-1)</f>
        <v>11824.855014662</v>
      </c>
      <c r="C19" s="40" t="n">
        <f aca="false">B19*Paramètres!B29</f>
        <v>985.404584555166</v>
      </c>
      <c r="D19" s="40" t="n">
        <f aca="false">B19-C19</f>
        <v>10839.4504301068</v>
      </c>
      <c r="E19" s="40" t="n">
        <f aca="false">(Paramètres!B32+Paramètres!B33+Paramètres!B34)*(1+Paramètres!B37)^(15-1)</f>
        <v>2968.82721689146</v>
      </c>
      <c r="F19" s="40" t="n">
        <f aca="false">'Amortissement crédit'!I18</f>
        <v>2217.44645181778</v>
      </c>
      <c r="G19" s="40" t="n">
        <f aca="false">IF(M19&lt;0,0,MAX(M19-K19,0))</f>
        <v>5653.17676139759</v>
      </c>
      <c r="H19" s="40" t="n">
        <f aca="false">IF(M19&lt;0,-Q19*Paramètres!$B$50,G19*(Paramètres!$B$50+Paramètres!$B$51))</f>
        <v>2668.29943137966</v>
      </c>
      <c r="I19" s="40" t="n">
        <f aca="false">D19-E19-H19-Paramètres!$B$24</f>
        <v>-7394.40129275705</v>
      </c>
      <c r="J19" s="40" t="n">
        <f aca="false">I19+IF(15=Paramètres!B12,Paramètres!B18-'Amortissement crédit'!J18-Paramètres!$B$75,0)</f>
        <v>188938.133884073</v>
      </c>
      <c r="K19" s="1" t="n">
        <f aca="false">L18</f>
        <v>0</v>
      </c>
      <c r="L19" s="1" t="n">
        <f aca="false">IF(M19&lt;0,K19+R19,MAX(K19-M19,0))</f>
        <v>0</v>
      </c>
      <c r="M19" s="1" t="n">
        <f aca="false">D19-E19-F19</f>
        <v>5653.17676139759</v>
      </c>
      <c r="N19" s="1" t="n">
        <f aca="false">IF(M19&lt;0,-M19,0)</f>
        <v>0</v>
      </c>
      <c r="O19" s="1" t="n">
        <f aca="false">IF(M19&lt;0,MAX(F19-D19,0),0)</f>
        <v>0</v>
      </c>
      <c r="P19" s="1" t="n">
        <f aca="false">N19-O19</f>
        <v>0</v>
      </c>
      <c r="Q19" s="1" t="n">
        <f aca="false">IF(M19&lt;0,MIN(P19,Paramètres!$B$81)*Paramètres!$B$82,0)</f>
        <v>0</v>
      </c>
      <c r="R19" s="1" t="n">
        <f aca="false">IF(M19&lt;0,N19-Q19,0)</f>
        <v>0</v>
      </c>
    </row>
    <row r="20" customFormat="false" ht="15" hidden="false" customHeight="true" outlineLevel="0" collapsed="false">
      <c r="A20" s="31" t="n">
        <v>16</v>
      </c>
      <c r="B20" s="41" t="n">
        <f aca="false">Paramètres!B27*12*(1+Paramètres!B28)^(16-1)</f>
        <v>12002.2278398819</v>
      </c>
      <c r="C20" s="41" t="n">
        <f aca="false">B20*Paramètres!B29</f>
        <v>1000.18565332349</v>
      </c>
      <c r="D20" s="41" t="n">
        <f aca="false">B20-C20</f>
        <v>11002.0421865584</v>
      </c>
      <c r="E20" s="41" t="n">
        <f aca="false">(Paramètres!B32+Paramètres!B33+Paramètres!B34)*(1+Paramètres!B37)^(16-1)</f>
        <v>3028.20376122929</v>
      </c>
      <c r="F20" s="41" t="n">
        <f aca="false">'Amortissement crédit'!I19</f>
        <v>1848.28713742842</v>
      </c>
      <c r="G20" s="41" t="n">
        <f aca="false">IF(M20&lt;0,0,MAX(M20-K20,0))</f>
        <v>6125.55128790072</v>
      </c>
      <c r="H20" s="41" t="n">
        <f aca="false">IF(M20&lt;0,-Q20*Paramètres!$B$50,G20*(Paramètres!$B$50+Paramètres!$B$51))</f>
        <v>2891.26020788914</v>
      </c>
      <c r="I20" s="41" t="n">
        <f aca="false">D20-E20-H20-Paramètres!$B$24</f>
        <v>-7514.14685715275</v>
      </c>
      <c r="J20" s="41" t="n">
        <f aca="false">I20+IF(16=Paramètres!B12,Paramètres!B18-'Amortissement crédit'!J19-Paramètres!$B$75,0)</f>
        <v>-7514.14685715275</v>
      </c>
      <c r="K20" s="1" t="n">
        <f aca="false">L19</f>
        <v>0</v>
      </c>
      <c r="L20" s="1" t="n">
        <f aca="false">IF(M20&lt;0,K20+R20,MAX(K20-M20,0))</f>
        <v>0</v>
      </c>
      <c r="M20" s="1" t="n">
        <f aca="false">D20-E20-F20</f>
        <v>6125.55128790072</v>
      </c>
      <c r="N20" s="1" t="n">
        <f aca="false">IF(M20&lt;0,-M20,0)</f>
        <v>0</v>
      </c>
      <c r="O20" s="1" t="n">
        <f aca="false">IF(M20&lt;0,MAX(F20-D20,0),0)</f>
        <v>0</v>
      </c>
      <c r="P20" s="1" t="n">
        <f aca="false">N20-O20</f>
        <v>0</v>
      </c>
      <c r="Q20" s="1" t="n">
        <f aca="false">IF(M20&lt;0,MIN(P20,Paramètres!$B$81)*Paramètres!$B$82,0)</f>
        <v>0</v>
      </c>
      <c r="R20" s="1" t="n">
        <f aca="false">IF(M20&lt;0,N20-Q20,0)</f>
        <v>0</v>
      </c>
    </row>
    <row r="21" customFormat="false" ht="15" hidden="false" customHeight="true" outlineLevel="0" collapsed="false">
      <c r="A21" s="31" t="n">
        <v>17</v>
      </c>
      <c r="B21" s="41" t="n">
        <f aca="false">Paramètres!B27*12*(1+Paramètres!B28)^(17-1)</f>
        <v>12182.2612574802</v>
      </c>
      <c r="C21" s="41" t="n">
        <f aca="false">B21*Paramètres!B29</f>
        <v>1015.18843812335</v>
      </c>
      <c r="D21" s="41" t="n">
        <f aca="false">B21-C21</f>
        <v>11167.0728193568</v>
      </c>
      <c r="E21" s="41" t="n">
        <f aca="false">(Paramètres!B32+Paramètres!B33+Paramètres!B34)*(1+Paramètres!B37)^(17-1)</f>
        <v>3088.76783645388</v>
      </c>
      <c r="F21" s="41" t="n">
        <f aca="false">'Amortissement crédit'!I20</f>
        <v>1465.99795107461</v>
      </c>
      <c r="G21" s="41" t="n">
        <f aca="false">IF(M21&lt;0,0,MAX(M21-K21,0))</f>
        <v>6612.30703182832</v>
      </c>
      <c r="H21" s="41" t="n">
        <f aca="false">IF(M21&lt;0,-Q21*Paramètres!$B$50,G21*(Paramètres!$B$50+Paramètres!$B$51))</f>
        <v>3121.00891902297</v>
      </c>
      <c r="I21" s="41" t="n">
        <f aca="false">D21-E21-H21-Paramètres!$B$24</f>
        <v>-7639.42901071279</v>
      </c>
      <c r="J21" s="41" t="n">
        <f aca="false">I21+IF(17=Paramètres!B12,Paramètres!B18-'Amortissement crédit'!J20-Paramètres!$B$75,0)</f>
        <v>-7639.42901071279</v>
      </c>
      <c r="K21" s="1" t="n">
        <f aca="false">L20</f>
        <v>0</v>
      </c>
      <c r="L21" s="1" t="n">
        <f aca="false">IF(M21&lt;0,K21+R21,MAX(K21-M21,0))</f>
        <v>0</v>
      </c>
      <c r="M21" s="1" t="n">
        <f aca="false">D21-E21-F21</f>
        <v>6612.30703182832</v>
      </c>
      <c r="N21" s="1" t="n">
        <f aca="false">IF(M21&lt;0,-M21,0)</f>
        <v>0</v>
      </c>
      <c r="O21" s="1" t="n">
        <f aca="false">IF(M21&lt;0,MAX(F21-D21,0),0)</f>
        <v>0</v>
      </c>
      <c r="P21" s="1" t="n">
        <f aca="false">N21-O21</f>
        <v>0</v>
      </c>
      <c r="Q21" s="1" t="n">
        <f aca="false">IF(M21&lt;0,MIN(P21,Paramètres!$B$81)*Paramètres!$B$82,0)</f>
        <v>0</v>
      </c>
      <c r="R21" s="1" t="n">
        <f aca="false">IF(M21&lt;0,N21-Q21,0)</f>
        <v>0</v>
      </c>
    </row>
    <row r="22" customFormat="false" ht="15" hidden="false" customHeight="true" outlineLevel="0" collapsed="false">
      <c r="A22" s="31" t="n">
        <v>18</v>
      </c>
      <c r="B22" s="41" t="n">
        <f aca="false">Paramètres!B27*12*(1+Paramètres!B28)^(18-1)</f>
        <v>12364.9951763424</v>
      </c>
      <c r="C22" s="41" t="n">
        <f aca="false">B22*Paramètres!B29</f>
        <v>1030.4162646952</v>
      </c>
      <c r="D22" s="41" t="n">
        <f aca="false">B22-C22</f>
        <v>11334.5789116472</v>
      </c>
      <c r="E22" s="41" t="n">
        <f aca="false">(Paramètres!B32+Paramètres!B33+Paramètres!B34)*(1+Paramètres!B37)^(18-1)</f>
        <v>3150.54319318296</v>
      </c>
      <c r="F22" s="41" t="n">
        <f aca="false">'Amortissement crédit'!I21</f>
        <v>1070.11190321801</v>
      </c>
      <c r="G22" s="41" t="n">
        <f aca="false">IF(M22&lt;0,0,MAX(M22-K22,0))</f>
        <v>7113.9238152462</v>
      </c>
      <c r="H22" s="41" t="n">
        <f aca="false">IF(M22&lt;0,-Q22*Paramètres!$B$50,G22*(Paramètres!$B$50+Paramètres!$B$51))</f>
        <v>3357.77204079621</v>
      </c>
      <c r="I22" s="41" t="n">
        <f aca="false">D22-E22-H22-Paramètres!$B$24</f>
        <v>-7770.46139692475</v>
      </c>
      <c r="J22" s="41" t="n">
        <f aca="false">I22+IF(18=Paramètres!B12,Paramètres!B18-'Amortissement crédit'!J21-Paramètres!$B$75,0)</f>
        <v>-7770.46139692475</v>
      </c>
      <c r="K22" s="1" t="n">
        <f aca="false">L21</f>
        <v>0</v>
      </c>
      <c r="L22" s="1" t="n">
        <f aca="false">IF(M22&lt;0,K22+R22,MAX(K22-M22,0))</f>
        <v>0</v>
      </c>
      <c r="M22" s="1" t="n">
        <f aca="false">D22-E22-F22</f>
        <v>7113.9238152462</v>
      </c>
      <c r="N22" s="1" t="n">
        <f aca="false">IF(M22&lt;0,-M22,0)</f>
        <v>0</v>
      </c>
      <c r="O22" s="1" t="n">
        <f aca="false">IF(M22&lt;0,MAX(F22-D22,0),0)</f>
        <v>0</v>
      </c>
      <c r="P22" s="1" t="n">
        <f aca="false">N22-O22</f>
        <v>0</v>
      </c>
      <c r="Q22" s="1" t="n">
        <f aca="false">IF(M22&lt;0,MIN(P22,Paramètres!$B$81)*Paramètres!$B$82,0)</f>
        <v>0</v>
      </c>
      <c r="R22" s="1" t="n">
        <f aca="false">IF(M22&lt;0,N22-Q22,0)</f>
        <v>0</v>
      </c>
    </row>
    <row r="23" customFormat="false" ht="15" hidden="false" customHeight="true" outlineLevel="0" collapsed="false">
      <c r="A23" s="31" t="n">
        <v>19</v>
      </c>
      <c r="B23" s="41" t="n">
        <f aca="false">Paramètres!B27*12*(1+Paramètres!B28)^(19-1)</f>
        <v>12550.4701039875</v>
      </c>
      <c r="C23" s="41" t="n">
        <f aca="false">B23*Paramètres!B29</f>
        <v>1045.87250866562</v>
      </c>
      <c r="D23" s="41" t="n">
        <f aca="false">B23-C23</f>
        <v>11504.5975953219</v>
      </c>
      <c r="E23" s="41" t="n">
        <f aca="false">(Paramètres!B32+Paramètres!B33+Paramètres!B34)*(1+Paramètres!B37)^(19-1)</f>
        <v>3213.55405704662</v>
      </c>
      <c r="F23" s="41" t="n">
        <f aca="false">'Amortissement crédit'!I22</f>
        <v>660.145394925319</v>
      </c>
      <c r="G23" s="41" t="n">
        <f aca="false">IF(M23&lt;0,0,MAX(M23-K23,0))</f>
        <v>7630.89814334994</v>
      </c>
      <c r="H23" s="41" t="n">
        <f aca="false">IF(M23&lt;0,-Q23*Paramètres!$B$50,G23*(Paramètres!$B$50+Paramètres!$B$51))</f>
        <v>3601.78392366117</v>
      </c>
      <c r="I23" s="41" t="n">
        <f aca="false">D23-E23-H23-Paramètres!$B$24</f>
        <v>-7907.46545997867</v>
      </c>
      <c r="J23" s="41" t="n">
        <f aca="false">I23+IF(19=Paramètres!B12,Paramètres!B18-'Amortissement crédit'!J22-Paramètres!$B$75,0)</f>
        <v>-7907.46545997867</v>
      </c>
      <c r="K23" s="1" t="n">
        <f aca="false">L22</f>
        <v>0</v>
      </c>
      <c r="L23" s="1" t="n">
        <f aca="false">IF(M23&lt;0,K23+R23,MAX(K23-M23,0))</f>
        <v>0</v>
      </c>
      <c r="M23" s="1" t="n">
        <f aca="false">D23-E23-F23</f>
        <v>7630.89814334994</v>
      </c>
      <c r="N23" s="1" t="n">
        <f aca="false">IF(M23&lt;0,-M23,0)</f>
        <v>0</v>
      </c>
      <c r="O23" s="1" t="n">
        <f aca="false">IF(M23&lt;0,MAX(F23-D23,0),0)</f>
        <v>0</v>
      </c>
      <c r="P23" s="1" t="n">
        <f aca="false">N23-O23</f>
        <v>0</v>
      </c>
      <c r="Q23" s="1" t="n">
        <f aca="false">IF(M23&lt;0,MIN(P23,Paramètres!$B$81)*Paramètres!$B$82,0)</f>
        <v>0</v>
      </c>
      <c r="R23" s="1" t="n">
        <f aca="false">IF(M23&lt;0,N23-Q23,0)</f>
        <v>0</v>
      </c>
    </row>
    <row r="24" customFormat="false" ht="15" hidden="false" customHeight="true" outlineLevel="0" collapsed="false">
      <c r="A24" s="31" t="n">
        <v>20</v>
      </c>
      <c r="B24" s="41" t="n">
        <f aca="false">Paramètres!B27*12*(1+Paramètres!B28)^(20-1)</f>
        <v>12738.7271555473</v>
      </c>
      <c r="C24" s="41" t="n">
        <f aca="false">B24*Paramètres!B29</f>
        <v>1061.56059629561</v>
      </c>
      <c r="D24" s="41" t="n">
        <f aca="false">B24-C24</f>
        <v>11677.1665592517</v>
      </c>
      <c r="E24" s="41" t="n">
        <f aca="false">(Paramètres!B32+Paramètres!B33+Paramètres!B34)*(1+Paramètres!B37)^(20-1)</f>
        <v>3277.82513818755</v>
      </c>
      <c r="F24" s="41" t="n">
        <f aca="false">'Amortissement crédit'!I23</f>
        <v>235.59762712276</v>
      </c>
      <c r="G24" s="41" t="n">
        <f aca="false">IF(M24&lt;0,0,MAX(M24-K24,0))</f>
        <v>8163.74379394139</v>
      </c>
      <c r="H24" s="41" t="n">
        <f aca="false">IF(M24&lt;0,-Q24*Paramètres!$B$50,G24*(Paramètres!$B$50+Paramètres!$B$51))</f>
        <v>3853.28707074034</v>
      </c>
      <c r="I24" s="41" t="n">
        <f aca="false">D24-E24-H24-Paramètres!$B$24</f>
        <v>-8050.67072426894</v>
      </c>
      <c r="J24" s="41" t="n">
        <f aca="false">I24+IF(20=Paramètres!B12,Paramètres!B18-'Amortissement crédit'!J23-Paramètres!$B$75,0)</f>
        <v>-8050.67072426894</v>
      </c>
      <c r="K24" s="1" t="n">
        <f aca="false">L23</f>
        <v>0</v>
      </c>
      <c r="L24" s="1" t="n">
        <f aca="false">IF(M24&lt;0,K24+R24,MAX(K24-M24,0))</f>
        <v>0</v>
      </c>
      <c r="M24" s="1" t="n">
        <f aca="false">D24-E24-F24</f>
        <v>8163.74379394139</v>
      </c>
      <c r="N24" s="1" t="n">
        <f aca="false">IF(M24&lt;0,-M24,0)</f>
        <v>0</v>
      </c>
      <c r="O24" s="1" t="n">
        <f aca="false">IF(M24&lt;0,MAX(F24-D24,0),0)</f>
        <v>0</v>
      </c>
      <c r="P24" s="1" t="n">
        <f aca="false">N24-O24</f>
        <v>0</v>
      </c>
      <c r="Q24" s="1" t="n">
        <f aca="false">IF(M24&lt;0,MIN(P24,Paramètres!$B$81)*Paramètres!$B$82,0)</f>
        <v>0</v>
      </c>
      <c r="R24" s="1" t="n">
        <f aca="false">IF(M24&lt;0,N24-Q24,0)</f>
        <v>0</v>
      </c>
    </row>
    <row r="26" customFormat="false" ht="15" hidden="false" customHeight="true" outlineLevel="0" collapsed="false">
      <c r="A26" s="42" t="s">
        <v>102</v>
      </c>
      <c r="B26" s="42"/>
      <c r="C26" s="42"/>
      <c r="D26" s="42"/>
      <c r="E26" s="42"/>
      <c r="F26" s="42"/>
      <c r="G26" s="42"/>
      <c r="H26" s="42"/>
      <c r="I26" s="42"/>
      <c r="J26" s="42"/>
    </row>
    <row r="27" customFormat="false" ht="15" hidden="false" customHeight="true" outlineLevel="0" collapsed="false">
      <c r="A27" s="43" t="s">
        <v>103</v>
      </c>
      <c r="B27" s="43"/>
      <c r="C27" s="43"/>
      <c r="D27" s="43"/>
      <c r="E27" s="43"/>
      <c r="F27" s="43"/>
      <c r="G27" s="43"/>
      <c r="H27" s="43"/>
      <c r="I27" s="43"/>
      <c r="J27" s="44" t="n">
        <f aca="false">-Paramètres!B10+SUMPRODUCT((I5:I24)*(ROW(I5:I24)-4&lt;=Paramètres!B12*1))</f>
        <v>-140994.71183083</v>
      </c>
    </row>
    <row r="28" customFormat="false" ht="15" hidden="false" customHeight="true" outlineLevel="0" collapsed="false">
      <c r="A28" s="43" t="s">
        <v>104</v>
      </c>
      <c r="B28" s="43"/>
      <c r="C28" s="43"/>
      <c r="D28" s="43"/>
      <c r="E28" s="43"/>
      <c r="F28" s="43"/>
      <c r="G28" s="43"/>
      <c r="H28" s="43"/>
      <c r="I28" s="43"/>
      <c r="J28" s="44" t="n">
        <f aca="false">SUMPRODUCT((H5:H24)*(ROW(H5:H24)-4&lt;=Paramètres!B12*1))</f>
        <v>19936.4600877042</v>
      </c>
    </row>
    <row r="29" customFormat="false" ht="15" hidden="false" customHeight="true" outlineLevel="0" collapsed="false">
      <c r="A29" s="43" t="s">
        <v>105</v>
      </c>
      <c r="B29" s="43"/>
      <c r="C29" s="43"/>
      <c r="D29" s="43"/>
      <c r="E29" s="43"/>
      <c r="F29" s="43"/>
      <c r="G29" s="43"/>
      <c r="H29" s="43"/>
      <c r="I29" s="43"/>
      <c r="J29" s="44" t="n">
        <f aca="false">Paramètres!B18</f>
        <v>256297.573664145</v>
      </c>
    </row>
    <row r="30" customFormat="false" ht="15" hidden="false" customHeight="true" outlineLevel="0" collapsed="false">
      <c r="A30" s="43" t="s">
        <v>106</v>
      </c>
      <c r="B30" s="43"/>
      <c r="C30" s="43"/>
      <c r="D30" s="43"/>
      <c r="E30" s="43"/>
      <c r="F30" s="43"/>
      <c r="G30" s="43"/>
      <c r="H30" s="43"/>
      <c r="I30" s="43"/>
      <c r="J30" s="44" t="n">
        <f aca="false">INDEX('Amortissement crédit'!J4:J23,Paramètres!B12)</f>
        <v>57703.4853591957</v>
      </c>
    </row>
    <row r="31" customFormat="false" ht="15" hidden="false" customHeight="true" outlineLevel="0" collapsed="false">
      <c r="A31" s="43" t="s">
        <v>107</v>
      </c>
      <c r="B31" s="43"/>
      <c r="C31" s="43"/>
      <c r="D31" s="43"/>
      <c r="E31" s="43"/>
      <c r="F31" s="43"/>
      <c r="G31" s="43"/>
      <c r="H31" s="43"/>
      <c r="I31" s="43"/>
      <c r="J31" s="44" t="n">
        <f aca="false">-Paramètres!B10+SUMPRODUCT((I5:I24)*(ROW(I5:I24)-4&lt;=Paramètres!B12*1))+Paramètres!B18-INDEX('Amortissement crédit'!J4:J23,Paramètres!B12)-Paramètres!$B$75</f>
        <v>55337.823346</v>
      </c>
    </row>
    <row r="32" customFormat="false" ht="15" hidden="false" customHeight="true" outlineLevel="0" collapsed="false">
      <c r="A32" s="45" t="s">
        <v>108</v>
      </c>
      <c r="B32" s="45"/>
      <c r="C32" s="45"/>
      <c r="D32" s="45"/>
      <c r="E32" s="45"/>
      <c r="F32" s="45"/>
      <c r="G32" s="45"/>
      <c r="H32" s="45"/>
      <c r="I32" s="45"/>
      <c r="J32" s="46" t="n">
        <f aca="false">IFERROR(IRR(INDEX($J$4:$J$24,1):INDEX($J$4:$J$24,Paramètres!$B$12+1)),"N/A")</f>
        <v>0.0352350071940738</v>
      </c>
    </row>
    <row r="33" customFormat="false" ht="1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6"/>
    </row>
    <row r="34" customFormat="false" ht="15" hidden="false" customHeight="true" outlineLevel="0" collapsed="false">
      <c r="A34" s="45" t="s">
        <v>109</v>
      </c>
      <c r="B34" s="45"/>
      <c r="C34" s="45"/>
      <c r="D34" s="45"/>
      <c r="E34" s="45"/>
      <c r="F34" s="45"/>
      <c r="G34" s="45"/>
      <c r="H34" s="45"/>
      <c r="I34" s="45"/>
      <c r="J34" s="47" t="n">
        <f aca="false">IFERROR((-Paramètres!B10+SUMPRODUCT((I5:I24)*(ROW(I5:I24)-4&lt;=Paramètres!B12*1))+Paramètres!B18-INDEX('Amortissement crédit'!J4:J23,Paramètres!B12)-Paramètres!$B$75+Paramètres!B10)/(Paramètres!B10),"N/A")</f>
        <v>2.38344558365</v>
      </c>
    </row>
    <row r="35" customFormat="false" ht="15" hidden="false" customHeight="true" outlineLevel="0" collapsed="false">
      <c r="A35" s="45" t="s">
        <v>110</v>
      </c>
      <c r="B35" s="45"/>
      <c r="C35" s="45"/>
      <c r="D35" s="45"/>
      <c r="E35" s="45"/>
      <c r="F35" s="45"/>
      <c r="G35" s="45"/>
      <c r="H35" s="45"/>
      <c r="I35" s="45"/>
      <c r="J35" s="48" t="n">
        <f aca="false">Paramètres!B56</f>
        <v>95862.3277239877</v>
      </c>
    </row>
    <row r="36" customFormat="false" ht="15" hidden="false" customHeight="true" outlineLevel="0" collapsed="false">
      <c r="A36" s="45" t="s">
        <v>111</v>
      </c>
      <c r="B36" s="45"/>
      <c r="C36" s="45"/>
      <c r="D36" s="45"/>
      <c r="E36" s="45"/>
      <c r="F36" s="45"/>
      <c r="G36" s="45"/>
      <c r="H36" s="45"/>
      <c r="I36" s="45"/>
      <c r="J36" s="48" t="n">
        <f aca="false">(-Paramètres!B10+SUMPRODUCT((I5:I24)*(ROW(I5:I24)-4&lt;=Paramètres!B12*1))+Paramètres!B18-INDEX('Amortissement crédit'!J4:J23,Paramètres!B12)+Paramètres!B10)-Paramètres!B56</f>
        <v>1737.04875013197</v>
      </c>
    </row>
    <row r="37" customFormat="false" ht="15" hidden="false" customHeight="true" outlineLevel="0" collapsed="false">
      <c r="A37" s="49" t="s">
        <v>112</v>
      </c>
      <c r="B37" s="49"/>
      <c r="C37" s="49"/>
      <c r="D37" s="49"/>
      <c r="E37" s="49"/>
      <c r="F37" s="49"/>
      <c r="G37" s="49"/>
      <c r="H37" s="49"/>
      <c r="I37" s="49"/>
      <c r="J37" s="49"/>
    </row>
  </sheetData>
  <mergeCells count="13">
    <mergeCell ref="A1:J1"/>
    <mergeCell ref="A26:J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9" min="8" style="1" width="13"/>
  </cols>
  <sheetData>
    <row r="1" customFormat="false" ht="19.5" hidden="false" customHeight="true" outlineLevel="0" collapsed="false">
      <c r="A1" s="50" t="s">
        <v>113</v>
      </c>
      <c r="B1" s="50"/>
      <c r="C1" s="50"/>
      <c r="D1" s="50"/>
      <c r="E1" s="50"/>
      <c r="F1" s="50"/>
      <c r="G1" s="50"/>
      <c r="H1" s="50"/>
      <c r="I1" s="50"/>
    </row>
    <row r="3" customFormat="false" ht="31.5" hidden="false" customHeight="true" outlineLevel="0" collapsed="false">
      <c r="A3" s="51" t="s">
        <v>76</v>
      </c>
      <c r="B3" s="51" t="s">
        <v>85</v>
      </c>
      <c r="C3" s="51" t="s">
        <v>86</v>
      </c>
      <c r="D3" s="51" t="s">
        <v>87</v>
      </c>
      <c r="E3" s="51" t="s">
        <v>114</v>
      </c>
      <c r="F3" s="51" t="s">
        <v>115</v>
      </c>
      <c r="G3" s="51" t="s">
        <v>90</v>
      </c>
      <c r="H3" s="51" t="s">
        <v>91</v>
      </c>
      <c r="I3" s="51" t="s">
        <v>92</v>
      </c>
    </row>
    <row r="4" customFormat="false" ht="15" hidden="false" customHeight="true" outlineLevel="0" collapsed="false">
      <c r="A4" s="31" t="s">
        <v>101</v>
      </c>
      <c r="I4" s="52" t="n">
        <f aca="false">-Paramètres!B10</f>
        <v>-40000</v>
      </c>
    </row>
    <row r="5" customFormat="false" ht="15" hidden="false" customHeight="true" outlineLevel="0" collapsed="false">
      <c r="A5" s="31" t="n">
        <v>1</v>
      </c>
      <c r="B5" s="53" t="n">
        <f aca="false">Paramètres!B27*12*(1+Paramètres!B28)^(1-1)</f>
        <v>9600</v>
      </c>
      <c r="C5" s="53" t="n">
        <f aca="false">B5*Paramètres!B29</f>
        <v>800</v>
      </c>
      <c r="D5" s="53" t="n">
        <f aca="false">B5-C5</f>
        <v>8800</v>
      </c>
      <c r="E5" s="53" t="n">
        <f aca="false">(Paramètres!$B$32+Paramètres!$B$33+Paramètres!$B$34)*(1+Paramètres!$B$37)^(1-1)+Paramètres!$B$36*(1+Paramètres!$B$78)^(1-1)</f>
        <v>2450</v>
      </c>
      <c r="F5" s="53" t="n">
        <f aca="false">D5*0.5</f>
        <v>4400</v>
      </c>
      <c r="G5" s="53" t="n">
        <f aca="false">F5*(Paramètres!C50+Paramètres!C51)</f>
        <v>2138.4</v>
      </c>
      <c r="H5" s="53" t="n">
        <f aca="false">D5-E5-G5-Paramètres!B24</f>
        <v>-8385.12507459275</v>
      </c>
      <c r="I5" s="53" t="n">
        <f aca="false">H5+IF(1=Paramètres!B12,Paramètres!B18-'Amortissement crédit'!J4-Paramètres!$B$75,0)</f>
        <v>-8385.12507459275</v>
      </c>
    </row>
    <row r="6" customFormat="false" ht="15" hidden="false" customHeight="true" outlineLevel="0" collapsed="false">
      <c r="A6" s="31" t="n">
        <v>2</v>
      </c>
      <c r="B6" s="53" t="n">
        <f aca="false">Paramètres!B27*12*(1+Paramètres!B28)^(2-1)</f>
        <v>9744</v>
      </c>
      <c r="C6" s="53" t="n">
        <f aca="false">B6*Paramètres!B29</f>
        <v>812</v>
      </c>
      <c r="D6" s="53" t="n">
        <f aca="false">B6-C6</f>
        <v>8932</v>
      </c>
      <c r="E6" s="53" t="n">
        <f aca="false">(Paramètres!$B$32+Paramètres!$B$33+Paramètres!$B$34)*(1+Paramètres!$B$37)^(2-1)+Paramètres!$B$36*(1+Paramètres!$B$78)^(2-1)</f>
        <v>2499</v>
      </c>
      <c r="F6" s="53" t="n">
        <f aca="false">D6*0.5</f>
        <v>4466</v>
      </c>
      <c r="G6" s="53" t="n">
        <f aca="false">F6*(Paramètres!C50+Paramètres!C51)</f>
        <v>2170.476</v>
      </c>
      <c r="H6" s="53" t="n">
        <f aca="false">D6-E6-G6-Paramètres!B24</f>
        <v>-8334.20107459276</v>
      </c>
      <c r="I6" s="53" t="n">
        <f aca="false">H6+IF(2=Paramètres!B12,Paramètres!B18-'Amortissement crédit'!J5-Paramètres!$B$75,0)</f>
        <v>-8334.20107459276</v>
      </c>
    </row>
    <row r="7" customFormat="false" ht="15" hidden="false" customHeight="true" outlineLevel="0" collapsed="false">
      <c r="A7" s="31" t="n">
        <v>3</v>
      </c>
      <c r="B7" s="53" t="n">
        <f aca="false">Paramètres!B27*12*(1+Paramètres!B28)^(3-1)</f>
        <v>9890.16</v>
      </c>
      <c r="C7" s="53" t="n">
        <f aca="false">B7*Paramètres!B29</f>
        <v>824.18</v>
      </c>
      <c r="D7" s="53" t="n">
        <f aca="false">B7-C7</f>
        <v>9065.98</v>
      </c>
      <c r="E7" s="53" t="n">
        <f aca="false">(Paramètres!$B$32+Paramètres!$B$33+Paramètres!$B$34)*(1+Paramètres!$B$37)^(3-1)+Paramètres!$B$36*(1+Paramètres!$B$78)^(3-1)</f>
        <v>2548.98</v>
      </c>
      <c r="F7" s="53" t="n">
        <f aca="false">D7*0.5</f>
        <v>4532.99</v>
      </c>
      <c r="G7" s="53" t="n">
        <f aca="false">F7*(Paramètres!C50+Paramètres!C51)</f>
        <v>2203.03314</v>
      </c>
      <c r="H7" s="53" t="n">
        <f aca="false">D7-E7-G7-Paramètres!B24</f>
        <v>-8282.75821459276</v>
      </c>
      <c r="I7" s="53" t="n">
        <f aca="false">H7+IF(3=Paramètres!B12,Paramètres!B18-'Amortissement crédit'!J6-Paramètres!$B$75,0)</f>
        <v>-8282.75821459276</v>
      </c>
    </row>
    <row r="8" customFormat="false" ht="15" hidden="false" customHeight="true" outlineLevel="0" collapsed="false">
      <c r="A8" s="31" t="n">
        <v>4</v>
      </c>
      <c r="B8" s="53" t="n">
        <f aca="false">Paramètres!B27*12*(1+Paramètres!B28)^(4-1)</f>
        <v>10038.5124</v>
      </c>
      <c r="C8" s="53" t="n">
        <f aca="false">B8*Paramètres!B29</f>
        <v>836.542699999999</v>
      </c>
      <c r="D8" s="53" t="n">
        <f aca="false">B8-C8</f>
        <v>9201.9697</v>
      </c>
      <c r="E8" s="53" t="n">
        <f aca="false">(Paramètres!$B$32+Paramètres!$B$33+Paramètres!$B$34)*(1+Paramètres!$B$37)^(4-1)+Paramètres!$B$36*(1+Paramètres!$B$78)^(4-1)</f>
        <v>2599.9596</v>
      </c>
      <c r="F8" s="53" t="n">
        <f aca="false">D8*0.5</f>
        <v>4600.98485</v>
      </c>
      <c r="G8" s="53" t="n">
        <f aca="false">F8*(Paramètres!C50+Paramètres!C51)</f>
        <v>2236.0786371</v>
      </c>
      <c r="H8" s="53" t="n">
        <f aca="false">D8-E8-G8-Paramètres!B24</f>
        <v>-8230.79361169276</v>
      </c>
      <c r="I8" s="53" t="n">
        <f aca="false">H8+IF(4=Paramètres!B12,Paramètres!B18-'Amortissement crédit'!J7-Paramètres!$B$75,0)</f>
        <v>-8230.79361169276</v>
      </c>
    </row>
    <row r="9" customFormat="false" ht="15" hidden="false" customHeight="true" outlineLevel="0" collapsed="false">
      <c r="A9" s="31" t="n">
        <v>5</v>
      </c>
      <c r="B9" s="53" t="n">
        <f aca="false">Paramètres!B27*12*(1+Paramètres!B28)^(5-1)</f>
        <v>10189.090086</v>
      </c>
      <c r="C9" s="53" t="n">
        <f aca="false">B9*Paramètres!B29</f>
        <v>849.090840499999</v>
      </c>
      <c r="D9" s="53" t="n">
        <f aca="false">B9-C9</f>
        <v>9339.9992455</v>
      </c>
      <c r="E9" s="53" t="n">
        <f aca="false">(Paramètres!$B$32+Paramètres!$B$33+Paramètres!$B$34)*(1+Paramètres!$B$37)^(5-1)+Paramètres!$B$36*(1+Paramètres!$B$78)^(5-1)</f>
        <v>2651.958792</v>
      </c>
      <c r="F9" s="53" t="n">
        <f aca="false">D9*0.5</f>
        <v>4669.99962275</v>
      </c>
      <c r="G9" s="53" t="n">
        <f aca="false">F9*(Paramètres!C50+Paramètres!C51)</f>
        <v>2269.6198166565</v>
      </c>
      <c r="H9" s="53" t="n">
        <f aca="false">D9-E9-G9-Paramètres!B24</f>
        <v>-8178.30443774926</v>
      </c>
      <c r="I9" s="53" t="n">
        <f aca="false">H9+IF(5=Paramètres!B12,Paramètres!B18-'Amortissement crédit'!J8-Paramètres!$B$75,0)</f>
        <v>-8178.30443774926</v>
      </c>
    </row>
    <row r="10" customFormat="false" ht="15" hidden="false" customHeight="true" outlineLevel="0" collapsed="false">
      <c r="A10" s="31" t="n">
        <v>6</v>
      </c>
      <c r="B10" s="53" t="n">
        <f aca="false">Paramètres!B27*12*(1+Paramètres!B28)^(6-1)</f>
        <v>10341.92643729</v>
      </c>
      <c r="C10" s="53" t="n">
        <f aca="false">B10*Paramètres!B29</f>
        <v>861.827203107499</v>
      </c>
      <c r="D10" s="53" t="n">
        <f aca="false">B10-C10</f>
        <v>9480.0992341825</v>
      </c>
      <c r="E10" s="53" t="n">
        <f aca="false">(Paramètres!$B$32+Paramètres!$B$33+Paramètres!$B$34)*(1+Paramètres!$B$37)^(6-1)+Paramètres!$B$36*(1+Paramètres!$B$78)^(6-1)</f>
        <v>2704.99796784</v>
      </c>
      <c r="F10" s="53" t="n">
        <f aca="false">D10*0.5</f>
        <v>4740.04961709125</v>
      </c>
      <c r="G10" s="53" t="n">
        <f aca="false">F10*(Paramètres!C50+Paramètres!C51)</f>
        <v>2303.66411390635</v>
      </c>
      <c r="H10" s="53" t="n">
        <f aca="false">D10-E10-G10-Paramètres!B24</f>
        <v>-8125.2879221566</v>
      </c>
      <c r="I10" s="53" t="n">
        <f aca="false">H10+IF(6=Paramètres!B12,Paramètres!B18-'Amortissement crédit'!J9-Paramètres!$B$75,0)</f>
        <v>-8125.2879221566</v>
      </c>
    </row>
    <row r="11" customFormat="false" ht="15" hidden="false" customHeight="true" outlineLevel="0" collapsed="false">
      <c r="A11" s="31" t="n">
        <v>7</v>
      </c>
      <c r="B11" s="53" t="n">
        <f aca="false">Paramètres!B27*12*(1+Paramètres!B28)^(7-1)</f>
        <v>10497.0553338493</v>
      </c>
      <c r="C11" s="53" t="n">
        <f aca="false">B11*Paramètres!B29</f>
        <v>874.754611154112</v>
      </c>
      <c r="D11" s="53" t="n">
        <f aca="false">B11-C11</f>
        <v>9622.30072269523</v>
      </c>
      <c r="E11" s="53" t="n">
        <f aca="false">(Paramètres!$B$32+Paramètres!$B$33+Paramètres!$B$34)*(1+Paramètres!$B$37)^(7-1)+Paramètres!$B$36*(1+Paramètres!$B$78)^(7-1)</f>
        <v>2759.0979271968</v>
      </c>
      <c r="F11" s="53" t="n">
        <f aca="false">D11*0.5</f>
        <v>4811.15036134762</v>
      </c>
      <c r="G11" s="53" t="n">
        <f aca="false">F11*(Paramètres!C50+Paramètres!C51)</f>
        <v>2338.21907561494</v>
      </c>
      <c r="H11" s="53" t="n">
        <f aca="false">D11-E11-G11-Paramètres!B24</f>
        <v>-8071.74135470927</v>
      </c>
      <c r="I11" s="53" t="n">
        <f aca="false">H11+IF(7=Paramètres!B12,Paramètres!B18-'Amortissement crédit'!J10-Paramètres!$B$75,0)</f>
        <v>-8071.74135470927</v>
      </c>
    </row>
    <row r="12" customFormat="false" ht="15" hidden="false" customHeight="true" outlineLevel="0" collapsed="false">
      <c r="A12" s="31" t="n">
        <v>8</v>
      </c>
      <c r="B12" s="53" t="n">
        <f aca="false">Paramètres!B27*12*(1+Paramètres!B28)^(8-1)</f>
        <v>10654.5111638571</v>
      </c>
      <c r="C12" s="53" t="n">
        <f aca="false">B12*Paramètres!B29</f>
        <v>887.875930321423</v>
      </c>
      <c r="D12" s="53" t="n">
        <f aca="false">B12-C12</f>
        <v>9766.63523353566</v>
      </c>
      <c r="E12" s="53" t="n">
        <f aca="false">(Paramètres!$B$32+Paramètres!$B$33+Paramètres!$B$34)*(1+Paramètres!$B$37)^(8-1)+Paramètres!$B$36*(1+Paramètres!$B$78)^(8-1)</f>
        <v>2814.27988574074</v>
      </c>
      <c r="F12" s="53" t="n">
        <f aca="false">D12*0.5</f>
        <v>4883.31761676783</v>
      </c>
      <c r="G12" s="53" t="n">
        <f aca="false">F12*(Paramètres!C50+Paramètres!C51)</f>
        <v>2373.29236174917</v>
      </c>
      <c r="H12" s="53" t="n">
        <f aca="false">D12-E12-G12-Paramètres!B24</f>
        <v>-8017.662088547</v>
      </c>
      <c r="I12" s="53" t="n">
        <f aca="false">H12+IF(8=Paramètres!B12,Paramètres!B18-'Amortissement crédit'!J11-Paramètres!$B$75,0)</f>
        <v>-8017.662088547</v>
      </c>
    </row>
    <row r="13" customFormat="false" ht="15" hidden="false" customHeight="true" outlineLevel="0" collapsed="false">
      <c r="A13" s="31" t="n">
        <v>9</v>
      </c>
      <c r="B13" s="53" t="n">
        <f aca="false">Paramètres!B27*12*(1+Paramètres!B28)^(9-1)</f>
        <v>10814.3288313149</v>
      </c>
      <c r="C13" s="53" t="n">
        <f aca="false">B13*Paramètres!B29</f>
        <v>901.194069276245</v>
      </c>
      <c r="D13" s="53" t="n">
        <f aca="false">B13-C13</f>
        <v>9913.1347620387</v>
      </c>
      <c r="E13" s="53" t="n">
        <f aca="false">(Paramètres!$B$32+Paramètres!$B$33+Paramètres!$B$34)*(1+Paramètres!$B$37)^(9-1)+Paramètres!$B$36*(1+Paramètres!$B$78)^(9-1)</f>
        <v>2870.56548345555</v>
      </c>
      <c r="F13" s="53" t="n">
        <f aca="false">D13*0.5</f>
        <v>4956.56738101935</v>
      </c>
      <c r="G13" s="53" t="n">
        <f aca="false">F13*(Paramètres!C50+Paramètres!C51)</f>
        <v>2408.8917471754</v>
      </c>
      <c r="H13" s="53" t="n">
        <f aca="false">D13-E13-G13-Paramètres!B24</f>
        <v>-7963.04754318501</v>
      </c>
      <c r="I13" s="53" t="n">
        <f aca="false">H13+IF(9=Paramètres!B12,Paramètres!B18-'Amortissement crédit'!J12-Paramètres!$B$75,0)</f>
        <v>-7963.04754318501</v>
      </c>
    </row>
    <row r="14" customFormat="false" ht="15" hidden="false" customHeight="true" outlineLevel="0" collapsed="false">
      <c r="A14" s="31" t="n">
        <v>10</v>
      </c>
      <c r="B14" s="53" t="n">
        <f aca="false">Paramètres!B27*12*(1+Paramètres!B28)^(10-1)</f>
        <v>10976.5437637847</v>
      </c>
      <c r="C14" s="53" t="n">
        <f aca="false">B14*Paramètres!B29</f>
        <v>914.711980315388</v>
      </c>
      <c r="D14" s="53" t="n">
        <f aca="false">B14-C14</f>
        <v>10061.8317834693</v>
      </c>
      <c r="E14" s="53" t="n">
        <f aca="false">(Paramètres!$B$32+Paramètres!$B$33+Paramètres!$B$34)*(1+Paramètres!$B$37)^(10-1)+Paramètres!$B$36*(1+Paramètres!$B$78)^(10-1)</f>
        <v>2927.97679312466</v>
      </c>
      <c r="F14" s="53" t="n">
        <f aca="false">D14*0.5</f>
        <v>5030.91589173464</v>
      </c>
      <c r="G14" s="53" t="n">
        <f aca="false">F14*(Paramètres!C50+Paramètres!C51)</f>
        <v>2445.02512338303</v>
      </c>
      <c r="H14" s="53" t="n">
        <f aca="false">D14-E14-G14-Paramètres!B24</f>
        <v>-7907.89520763118</v>
      </c>
      <c r="I14" s="53" t="n">
        <f aca="false">H14+IF(10=Paramètres!B12,Paramètres!B18-'Amortissement crédit'!J13-Paramètres!$B$75,0)</f>
        <v>-7907.89520763118</v>
      </c>
    </row>
    <row r="15" customFormat="false" ht="15" hidden="false" customHeight="true" outlineLevel="0" collapsed="false">
      <c r="A15" s="31" t="n">
        <v>11</v>
      </c>
      <c r="B15" s="53" t="n">
        <f aca="false">Paramètres!B27*12*(1+Paramètres!B28)^(11-1)</f>
        <v>11141.1919202414</v>
      </c>
      <c r="C15" s="53" t="n">
        <f aca="false">B15*Paramètres!B29</f>
        <v>928.432660020119</v>
      </c>
      <c r="D15" s="53" t="n">
        <f aca="false">B15-C15</f>
        <v>10212.7592602213</v>
      </c>
      <c r="E15" s="53" t="n">
        <f aca="false">(Paramètres!$B$32+Paramètres!$B$33+Paramètres!$B$34)*(1+Paramètres!$B$37)^(11-1)+Paramètres!$B$36*(1+Paramètres!$B$78)^(11-1)</f>
        <v>2986.53632898716</v>
      </c>
      <c r="F15" s="53" t="n">
        <f aca="false">D15*0.5</f>
        <v>5106.37963011066</v>
      </c>
      <c r="G15" s="53" t="n">
        <f aca="false">F15*(Paramètres!C50+Paramètres!C51)</f>
        <v>2481.70050023378</v>
      </c>
      <c r="H15" s="53" t="n">
        <f aca="false">D15-E15-G15-Paramètres!B24</f>
        <v>-7852.20264359238</v>
      </c>
      <c r="I15" s="53" t="n">
        <f aca="false">H15+IF(11=Paramètres!B12,Paramètres!B18-'Amortissement crédit'!J14-Paramètres!$B$75,0)</f>
        <v>-7852.20264359238</v>
      </c>
    </row>
    <row r="16" customFormat="false" ht="15" hidden="false" customHeight="true" outlineLevel="0" collapsed="false">
      <c r="A16" s="31" t="n">
        <v>12</v>
      </c>
      <c r="B16" s="53" t="n">
        <f aca="false">Paramètres!B27*12*(1+Paramètres!B28)^(12-1)</f>
        <v>11308.3097990451</v>
      </c>
      <c r="C16" s="53" t="n">
        <f aca="false">B16*Paramètres!B29</f>
        <v>942.359149920421</v>
      </c>
      <c r="D16" s="53" t="n">
        <f aca="false">B16-C16</f>
        <v>10365.9506491246</v>
      </c>
      <c r="E16" s="53" t="n">
        <f aca="false">(Paramètres!$B$32+Paramètres!$B$33+Paramètres!$B$34)*(1+Paramètres!$B$37)^(12-1)+Paramètres!$B$36*(1+Paramètres!$B$78)^(12-1)</f>
        <v>3046.2670555669</v>
      </c>
      <c r="F16" s="53" t="n">
        <f aca="false">D16*0.5</f>
        <v>5182.97532456231</v>
      </c>
      <c r="G16" s="53" t="n">
        <f aca="false">F16*(Paramètres!C50+Paramètres!C51)</f>
        <v>2518.92600773728</v>
      </c>
      <c r="H16" s="53" t="n">
        <f aca="false">D16-E16-G16-Paramètres!B24</f>
        <v>-7795.96748877231</v>
      </c>
      <c r="I16" s="53" t="n">
        <f aca="false">H16+IF(12=Paramètres!B12,Paramètres!B18-'Amortissement crédit'!J15-Paramètres!$B$75,0)</f>
        <v>-7795.96748877231</v>
      </c>
    </row>
    <row r="17" customFormat="false" ht="15" hidden="false" customHeight="true" outlineLevel="0" collapsed="false">
      <c r="A17" s="31" t="n">
        <v>13</v>
      </c>
      <c r="B17" s="53" t="n">
        <f aca="false">Paramètres!B27*12*(1+Paramètres!B28)^(13-1)</f>
        <v>11477.9344460307</v>
      </c>
      <c r="C17" s="53" t="n">
        <f aca="false">B17*Paramètres!B29</f>
        <v>956.494537169227</v>
      </c>
      <c r="D17" s="53" t="n">
        <f aca="false">B17-C17</f>
        <v>10521.4399088615</v>
      </c>
      <c r="E17" s="53" t="n">
        <f aca="false">(Paramètres!$B$32+Paramètres!$B$33+Paramètres!$B$34)*(1+Paramètres!$B$37)^(13-1)+Paramètres!$B$36*(1+Paramètres!$B$78)^(13-1)</f>
        <v>3107.19239667824</v>
      </c>
      <c r="F17" s="53" t="n">
        <f aca="false">D17*0.5</f>
        <v>5260.71995443075</v>
      </c>
      <c r="G17" s="53" t="n">
        <f aca="false">F17*(Paramètres!C50+Paramètres!C51)</f>
        <v>2556.70989785334</v>
      </c>
      <c r="H17" s="53" t="n">
        <f aca="false">D17-E17-G17-Paramètres!B24</f>
        <v>-7739.18746026284</v>
      </c>
      <c r="I17" s="53" t="n">
        <f aca="false">H17+IF(13=Paramètres!B12,Paramètres!B18-'Amortissement crédit'!J16-Paramètres!$B$75,0)</f>
        <v>-7739.18746026284</v>
      </c>
    </row>
    <row r="18" customFormat="false" ht="15" hidden="false" customHeight="true" outlineLevel="0" collapsed="false">
      <c r="A18" s="31" t="n">
        <v>14</v>
      </c>
      <c r="B18" s="53" t="n">
        <f aca="false">Paramètres!B27*12*(1+Paramètres!B28)^(14-1)</f>
        <v>11650.1034627212</v>
      </c>
      <c r="C18" s="53" t="n">
        <f aca="false">B18*Paramètres!B29</f>
        <v>970.841955226765</v>
      </c>
      <c r="D18" s="53" t="n">
        <f aca="false">B18-C18</f>
        <v>10679.2615074944</v>
      </c>
      <c r="E18" s="53" t="n">
        <f aca="false">(Paramètres!$B$32+Paramètres!$B$33+Paramètres!$B$34)*(1+Paramètres!$B$37)^(14-1)+Paramètres!$B$36*(1+Paramètres!$B$78)^(14-1)</f>
        <v>3169.3362446118</v>
      </c>
      <c r="F18" s="53" t="n">
        <f aca="false">D18*0.5</f>
        <v>5339.63075374721</v>
      </c>
      <c r="G18" s="53" t="n">
        <f aca="false">F18*(Paramètres!C50+Paramètres!C51)</f>
        <v>2595.06054632114</v>
      </c>
      <c r="H18" s="53" t="n">
        <f aca="false">D18-E18-G18-Paramètres!B24</f>
        <v>-7681.86035803128</v>
      </c>
      <c r="I18" s="53" t="n">
        <f aca="false">H18+IF(14=Paramètres!B12,Paramètres!B18-'Amortissement crédit'!J17-Paramètres!$B$75,0)</f>
        <v>-7681.86035803128</v>
      </c>
    </row>
    <row r="19" customFormat="false" ht="15" hidden="false" customHeight="true" outlineLevel="0" collapsed="false">
      <c r="A19" s="31" t="n">
        <v>15</v>
      </c>
      <c r="B19" s="53" t="n">
        <f aca="false">Paramètres!B27*12*(1+Paramètres!B28)^(15-1)</f>
        <v>11824.855014662</v>
      </c>
      <c r="C19" s="53" t="n">
        <f aca="false">B19*Paramètres!B29</f>
        <v>985.404584555166</v>
      </c>
      <c r="D19" s="53" t="n">
        <f aca="false">B19-C19</f>
        <v>10839.4504301068</v>
      </c>
      <c r="E19" s="53" t="n">
        <f aca="false">(Paramètres!$B$32+Paramètres!$B$33+Paramètres!$B$34)*(1+Paramètres!$B$37)^(15-1)+Paramètres!$B$36*(1+Paramètres!$B$78)^(15-1)</f>
        <v>3232.72296950404</v>
      </c>
      <c r="F19" s="53" t="n">
        <f aca="false">D19*0.5</f>
        <v>5419.72521505342</v>
      </c>
      <c r="G19" s="53" t="n">
        <f aca="false">F19*(Paramètres!C50+Paramètres!C51)</f>
        <v>2633.98645451596</v>
      </c>
      <c r="H19" s="53" t="n">
        <f aca="false">D19-E19-G19-Paramètres!B24</f>
        <v>-7623.98406850592</v>
      </c>
      <c r="I19" s="53" t="n">
        <f aca="false">H19+IF(15=Paramètres!B12,Paramètres!B18-'Amortissement crédit'!J18-Paramètres!$B$75,0)</f>
        <v>188708.551108324</v>
      </c>
    </row>
    <row r="20" customFormat="false" ht="15" hidden="false" customHeight="true" outlineLevel="0" collapsed="false">
      <c r="A20" s="31" t="n">
        <v>16</v>
      </c>
      <c r="B20" s="41" t="n">
        <f aca="false">Paramètres!B27*12*(1+Paramètres!B28)^(16-1)</f>
        <v>12002.2278398819</v>
      </c>
      <c r="C20" s="41" t="n">
        <f aca="false">B20*Paramètres!B29</f>
        <v>1000.18565332349</v>
      </c>
      <c r="D20" s="41" t="n">
        <f aca="false">B20-C20</f>
        <v>11002.0421865584</v>
      </c>
      <c r="E20" s="41" t="n">
        <f aca="false">(Paramètres!$B$32+Paramètres!$B$33+Paramètres!$B$34)*(1+Paramètres!$B$37)^(16-1)+Paramètres!$B$36*(1+Paramètres!$B$78)^(16-1)</f>
        <v>3297.37742889412</v>
      </c>
      <c r="F20" s="41" t="n">
        <f aca="false">D20*0.5</f>
        <v>5501.02109327922</v>
      </c>
      <c r="G20" s="41" t="n">
        <f aca="false">F20*(Paramètres!C50+Paramètres!C51)</f>
        <v>2673.4962513337</v>
      </c>
      <c r="H20" s="41" t="n">
        <f aca="false">D20-E20-G20-Paramètres!B24</f>
        <v>-7565.55656826214</v>
      </c>
      <c r="I20" s="41" t="n">
        <f aca="false">H20+IF(16=Paramètres!B12,Paramètres!B18-'Amortissement crédit'!J19-Paramètres!$B$75,0)</f>
        <v>-7565.55656826214</v>
      </c>
    </row>
    <row r="21" customFormat="false" ht="15" hidden="false" customHeight="true" outlineLevel="0" collapsed="false">
      <c r="A21" s="31" t="n">
        <v>17</v>
      </c>
      <c r="B21" s="41" t="n">
        <f aca="false">Paramètres!B27*12*(1+Paramètres!B28)^(17-1)</f>
        <v>12182.2612574802</v>
      </c>
      <c r="C21" s="41" t="n">
        <f aca="false">B21*Paramètres!B29</f>
        <v>1015.18843812335</v>
      </c>
      <c r="D21" s="41" t="n">
        <f aca="false">B21-C21</f>
        <v>11167.0728193568</v>
      </c>
      <c r="E21" s="41" t="n">
        <f aca="false">(Paramètres!$B$32+Paramètres!$B$33+Paramètres!$B$34)*(1+Paramètres!$B$37)^(17-1)+Paramètres!$B$36*(1+Paramètres!$B$78)^(17-1)</f>
        <v>3363.324977472</v>
      </c>
      <c r="F21" s="41" t="n">
        <f aca="false">D21*0.5</f>
        <v>5583.53640967841</v>
      </c>
      <c r="G21" s="41" t="n">
        <f aca="false">F21*(Paramètres!C50+Paramètres!C51)</f>
        <v>2713.59869510371</v>
      </c>
      <c r="H21" s="41" t="n">
        <f aca="false">D21-E21-G21-Paramètres!B24</f>
        <v>-7506.57592781165</v>
      </c>
      <c r="I21" s="41" t="n">
        <f aca="false">H21+IF(17=Paramètres!B12,Paramètres!B18-'Amortissement crédit'!J20-Paramètres!$B$75,0)</f>
        <v>-7506.57592781165</v>
      </c>
    </row>
    <row r="22" customFormat="false" ht="15" hidden="false" customHeight="true" outlineLevel="0" collapsed="false">
      <c r="A22" s="31" t="n">
        <v>18</v>
      </c>
      <c r="B22" s="41" t="n">
        <f aca="false">Paramètres!B27*12*(1+Paramètres!B28)^(18-1)</f>
        <v>12364.9951763424</v>
      </c>
      <c r="C22" s="41" t="n">
        <f aca="false">B22*Paramètres!B29</f>
        <v>1030.4162646952</v>
      </c>
      <c r="D22" s="41" t="n">
        <f aca="false">B22-C22</f>
        <v>11334.5789116472</v>
      </c>
      <c r="E22" s="41" t="n">
        <f aca="false">(Paramètres!$B$32+Paramètres!$B$33+Paramètres!$B$34)*(1+Paramètres!$B$37)^(18-1)+Paramètres!$B$36*(1+Paramètres!$B$78)^(18-1)</f>
        <v>3430.59147702144</v>
      </c>
      <c r="F22" s="41" t="n">
        <f aca="false">D22*0.5</f>
        <v>5667.28945582358</v>
      </c>
      <c r="G22" s="41" t="n">
        <f aca="false">F22*(Paramètres!C50+Paramètres!C51)</f>
        <v>2754.30267553026</v>
      </c>
      <c r="H22" s="41" t="n">
        <f aca="false">D22-E22-G22-Paramètres!B24</f>
        <v>-7447.04031549729</v>
      </c>
      <c r="I22" s="41" t="n">
        <f aca="false">H22+IF(18=Paramètres!B12,Paramètres!B18-'Amortissement crédit'!J21-Paramètres!$B$75,0)</f>
        <v>-7447.04031549729</v>
      </c>
    </row>
    <row r="23" customFormat="false" ht="15" hidden="false" customHeight="true" outlineLevel="0" collapsed="false">
      <c r="A23" s="31" t="n">
        <v>19</v>
      </c>
      <c r="B23" s="41" t="n">
        <f aca="false">Paramètres!B27*12*(1+Paramètres!B28)^(19-1)</f>
        <v>12550.4701039875</v>
      </c>
      <c r="C23" s="41" t="n">
        <f aca="false">B23*Paramètres!B29</f>
        <v>1045.87250866562</v>
      </c>
      <c r="D23" s="41" t="n">
        <f aca="false">B23-C23</f>
        <v>11504.5975953219</v>
      </c>
      <c r="E23" s="41" t="n">
        <f aca="false">(Paramètres!$B$32+Paramètres!$B$33+Paramètres!$B$34)*(1+Paramètres!$B$37)^(19-1)+Paramètres!$B$36*(1+Paramètres!$B$78)^(19-1)</f>
        <v>3499.20330656187</v>
      </c>
      <c r="F23" s="41" t="n">
        <f aca="false">D23*0.5</f>
        <v>5752.29879766094</v>
      </c>
      <c r="G23" s="41" t="n">
        <f aca="false">F23*(Paramètres!C50+Paramètres!C51)</f>
        <v>2795.61721566321</v>
      </c>
      <c r="H23" s="41" t="n">
        <f aca="false">D23-E23-G23-Paramètres!B24</f>
        <v>-7386.94800149597</v>
      </c>
      <c r="I23" s="41" t="n">
        <f aca="false">H23+IF(19=Paramètres!B12,Paramètres!B18-'Amortissement crédit'!J22-Paramètres!$B$75,0)</f>
        <v>-7386.94800149597</v>
      </c>
    </row>
    <row r="24" customFormat="false" ht="15" hidden="false" customHeight="true" outlineLevel="0" collapsed="false">
      <c r="A24" s="31" t="n">
        <v>20</v>
      </c>
      <c r="B24" s="41" t="n">
        <f aca="false">Paramètres!B27*12*(1+Paramètres!B28)^(20-1)</f>
        <v>12738.7271555473</v>
      </c>
      <c r="C24" s="41" t="n">
        <f aca="false">B24*Paramètres!B29</f>
        <v>1061.56059629561</v>
      </c>
      <c r="D24" s="41" t="n">
        <f aca="false">B24-C24</f>
        <v>11677.1665592517</v>
      </c>
      <c r="E24" s="41" t="n">
        <f aca="false">(Paramètres!$B$32+Paramètres!$B$33+Paramètres!$B$34)*(1+Paramètres!$B$37)^(20-1)+Paramètres!$B$36*(1+Paramètres!$B$78)^(20-1)</f>
        <v>3569.18737269311</v>
      </c>
      <c r="F24" s="41" t="n">
        <f aca="false">D24*0.5</f>
        <v>5838.58327962585</v>
      </c>
      <c r="G24" s="41" t="n">
        <f aca="false">F24*(Paramètres!C50+Paramètres!C51)</f>
        <v>2837.55147389816</v>
      </c>
      <c r="H24" s="41" t="n">
        <f aca="false">D24-E24-G24-Paramètres!B24</f>
        <v>-7326.29736193233</v>
      </c>
      <c r="I24" s="41" t="n">
        <f aca="false">H24+IF(20=Paramètres!B12,Paramètres!B18-'Amortissement crédit'!J23-Paramètres!$B$75,0)</f>
        <v>-7326.29736193233</v>
      </c>
    </row>
    <row r="26" customFormat="false" ht="15" hidden="false" customHeight="true" outlineLevel="0" collapsed="false">
      <c r="A26" s="42" t="s">
        <v>102</v>
      </c>
      <c r="B26" s="42"/>
      <c r="C26" s="42"/>
      <c r="D26" s="42"/>
      <c r="E26" s="42"/>
      <c r="F26" s="42"/>
      <c r="G26" s="42"/>
      <c r="H26" s="42"/>
      <c r="I26" s="42"/>
    </row>
    <row r="27" customFormat="false" ht="15" hidden="false" customHeight="true" outlineLevel="0" collapsed="false">
      <c r="A27" s="43" t="s">
        <v>103</v>
      </c>
      <c r="B27" s="43"/>
      <c r="C27" s="43"/>
      <c r="D27" s="43"/>
      <c r="E27" s="43"/>
      <c r="F27" s="43"/>
      <c r="G27" s="43"/>
      <c r="H27" s="43"/>
      <c r="I27" s="44" t="n">
        <f aca="false">-Paramètres!B10+SUMPRODUCT((H5:H24)*(ROW(H5:H24)-4&lt;=Paramètres!B12*1))</f>
        <v>-160190.018548614</v>
      </c>
    </row>
    <row r="28" customFormat="false" ht="15" hidden="false" customHeight="true" outlineLevel="0" collapsed="false">
      <c r="A28" s="43" t="s">
        <v>104</v>
      </c>
      <c r="B28" s="43"/>
      <c r="C28" s="43"/>
      <c r="D28" s="43"/>
      <c r="E28" s="43"/>
      <c r="F28" s="43"/>
      <c r="G28" s="43"/>
      <c r="H28" s="43"/>
      <c r="I28" s="44" t="n">
        <f aca="false">SUMPRODUCT((G5:G24)*(ROW(G5:G24)-4&lt;=Paramètres!B12*1))</f>
        <v>35673.0834222469</v>
      </c>
    </row>
    <row r="29" customFormat="false" ht="15" hidden="false" customHeight="true" outlineLevel="0" collapsed="false">
      <c r="A29" s="43" t="s">
        <v>105</v>
      </c>
      <c r="B29" s="43"/>
      <c r="C29" s="43"/>
      <c r="D29" s="43"/>
      <c r="E29" s="43"/>
      <c r="F29" s="43"/>
      <c r="G29" s="43"/>
      <c r="H29" s="43"/>
      <c r="I29" s="44" t="n">
        <f aca="false">Paramètres!B18</f>
        <v>256297.573664145</v>
      </c>
    </row>
    <row r="30" customFormat="false" ht="15" hidden="false" customHeight="true" outlineLevel="0" collapsed="false">
      <c r="A30" s="43" t="s">
        <v>106</v>
      </c>
      <c r="B30" s="43"/>
      <c r="C30" s="43"/>
      <c r="D30" s="43"/>
      <c r="E30" s="43"/>
      <c r="F30" s="43"/>
      <c r="G30" s="43"/>
      <c r="H30" s="43"/>
      <c r="I30" s="44" t="n">
        <f aca="false">INDEX('Amortissement crédit'!J4:J23,Paramètres!B12)</f>
        <v>57703.4853591957</v>
      </c>
    </row>
    <row r="31" customFormat="false" ht="15" hidden="false" customHeight="true" outlineLevel="0" collapsed="false">
      <c r="A31" s="43" t="s">
        <v>107</v>
      </c>
      <c r="B31" s="43"/>
      <c r="C31" s="43"/>
      <c r="D31" s="43"/>
      <c r="E31" s="43"/>
      <c r="F31" s="43"/>
      <c r="G31" s="43"/>
      <c r="H31" s="43"/>
      <c r="I31" s="44" t="n">
        <f aca="false">-Paramètres!B10+SUMPRODUCT((H5:H24)*(ROW(H5:H24)-4&lt;=Paramètres!B12*1))+Paramètres!B18-INDEX('Amortissement crédit'!J4:J23,Paramètres!B12)-Paramètres!$B$75</f>
        <v>36142.5166282161</v>
      </c>
    </row>
    <row r="32" customFormat="false" ht="15" hidden="false" customHeight="true" outlineLevel="0" collapsed="false">
      <c r="A32" s="45" t="s">
        <v>108</v>
      </c>
      <c r="B32" s="45"/>
      <c r="C32" s="45"/>
      <c r="D32" s="45"/>
      <c r="E32" s="45"/>
      <c r="F32" s="45"/>
      <c r="G32" s="45"/>
      <c r="H32" s="45"/>
      <c r="I32" s="46" t="n">
        <f aca="false">IFERROR(IRR(INDEX($I$4:$I$24,1):INDEX($I$4:$I$24,Paramètres!$B$12+1)),"N/A")</f>
        <v>0.0219567624743036</v>
      </c>
    </row>
    <row r="33" customFormat="false" ht="1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6"/>
    </row>
    <row r="34" customFormat="false" ht="15" hidden="false" customHeight="true" outlineLevel="0" collapsed="false">
      <c r="A34" s="45" t="s">
        <v>109</v>
      </c>
      <c r="B34" s="45"/>
      <c r="C34" s="45"/>
      <c r="D34" s="45"/>
      <c r="E34" s="45"/>
      <c r="F34" s="45"/>
      <c r="G34" s="45"/>
      <c r="H34" s="45"/>
      <c r="I34" s="47" t="n">
        <f aca="false">IFERROR((-Paramètres!B10+SUMPRODUCT((H5:H24)*(ROW(H5:H24)-4&lt;=Paramètres!B12*1))+Paramètres!B18-INDEX('Amortissement crédit'!J4:J23,Paramètres!B12)-Paramètres!$B$75+Paramètres!B10)/(Paramètres!B10),"N/A")</f>
        <v>1.9035629157054</v>
      </c>
    </row>
    <row r="35" customFormat="false" ht="15" hidden="false" customHeight="true" outlineLevel="0" collapsed="false">
      <c r="A35" s="45" t="s">
        <v>110</v>
      </c>
      <c r="B35" s="45"/>
      <c r="C35" s="45"/>
      <c r="D35" s="45"/>
      <c r="E35" s="45"/>
      <c r="F35" s="45"/>
      <c r="G35" s="45"/>
      <c r="H35" s="45"/>
      <c r="I35" s="48" t="n">
        <f aca="false">Paramètres!B56</f>
        <v>95862.3277239877</v>
      </c>
    </row>
    <row r="36" customFormat="false" ht="15" hidden="false" customHeight="true" outlineLevel="0" collapsed="false">
      <c r="A36" s="49" t="s">
        <v>116</v>
      </c>
      <c r="B36" s="49"/>
      <c r="C36" s="49"/>
      <c r="D36" s="49"/>
      <c r="E36" s="49"/>
      <c r="F36" s="49"/>
      <c r="G36" s="49"/>
      <c r="H36" s="49"/>
      <c r="I36" s="49"/>
    </row>
  </sheetData>
  <mergeCells count="12">
    <mergeCell ref="A1:I1"/>
    <mergeCell ref="A26:I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K32" activeCellId="0" sqref="K3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19.5" hidden="false" customHeight="true" outlineLevel="0" collapsed="false">
      <c r="A1" s="54" t="s">
        <v>117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3" customFormat="false" ht="31.5" hidden="false" customHeight="true" outlineLevel="0" collapsed="false">
      <c r="A3" s="55" t="s">
        <v>76</v>
      </c>
      <c r="B3" s="55" t="s">
        <v>85</v>
      </c>
      <c r="C3" s="55" t="s">
        <v>86</v>
      </c>
      <c r="D3" s="55" t="s">
        <v>87</v>
      </c>
      <c r="E3" s="55" t="s">
        <v>88</v>
      </c>
      <c r="F3" s="55" t="s">
        <v>78</v>
      </c>
      <c r="G3" s="55" t="s">
        <v>118</v>
      </c>
      <c r="H3" s="55" t="s">
        <v>119</v>
      </c>
      <c r="I3" s="55" t="s">
        <v>90</v>
      </c>
      <c r="J3" s="55" t="s">
        <v>91</v>
      </c>
      <c r="K3" s="55" t="s">
        <v>92</v>
      </c>
      <c r="L3" s="56" t="s">
        <v>95</v>
      </c>
      <c r="M3" s="56" t="s">
        <v>93</v>
      </c>
      <c r="N3" s="56" t="s">
        <v>94</v>
      </c>
    </row>
    <row r="4" customFormat="false" ht="15" hidden="false" customHeight="true" outlineLevel="0" collapsed="false">
      <c r="A4" s="31" t="s">
        <v>101</v>
      </c>
      <c r="K4" s="57" t="n">
        <f aca="false">-Paramètres!B10</f>
        <v>-40000</v>
      </c>
    </row>
    <row r="5" customFormat="false" ht="15" hidden="false" customHeight="true" outlineLevel="0" collapsed="false">
      <c r="A5" s="31" t="n">
        <v>1</v>
      </c>
      <c r="B5" s="58" t="n">
        <f aca="false">Paramètres!B27*12*(1+Paramètres!B28)^(1-1)</f>
        <v>9600</v>
      </c>
      <c r="C5" s="58" t="n">
        <f aca="false">B5*Paramètres!B29</f>
        <v>800</v>
      </c>
      <c r="D5" s="58" t="n">
        <f aca="false">B5-C5</f>
        <v>8800</v>
      </c>
      <c r="E5" s="58" t="n">
        <f aca="false">(Paramètres!$B$32+Paramètres!$B$33+Paramètres!$B$34)*(1+Paramètres!$B$37)^(1-1)+Paramètres!$B$36*(1+Paramètres!$B$78)^(1-1)+Paramètres!$B$35*(1+Paramètres!$B$79)^(1-1)</f>
        <v>2850</v>
      </c>
      <c r="F5" s="58" t="n">
        <f aca="false">'Amortissement crédit'!I4</f>
        <v>6233.56847206007</v>
      </c>
      <c r="G5" s="58" t="n">
        <f aca="false">IF(1&lt;=Paramètres!B40,Paramètres!B43,0)+IF(1&lt;=Paramètres!B41,Paramètres!B44,0)+IF(1&lt;=Paramètres!B42,Paramètres!B45,0)</f>
        <v>6797.61904761905</v>
      </c>
      <c r="H5" s="58" t="n">
        <f aca="false">IF(L5&lt;0,0,MAX(L5-M5,0))</f>
        <v>0</v>
      </c>
      <c r="I5" s="58" t="n">
        <f aca="false">H5*(Paramètres!D50+Paramètres!D51)</f>
        <v>0</v>
      </c>
      <c r="J5" s="58" t="n">
        <f aca="false">D5-E5-I5-Paramètres!B24</f>
        <v>-6646.72507459275</v>
      </c>
      <c r="K5" s="58" t="n">
        <f aca="false">J5+IF(1=Paramètres!B12,Paramètres!B18-'Amortissement crédit'!J4-'PV LMNP Réel'!B6,0)</f>
        <v>-6646.72507459275</v>
      </c>
      <c r="L5" s="56" t="n">
        <f aca="false">D5-E5-F5-G5</f>
        <v>-7081.18751967912</v>
      </c>
      <c r="M5" s="56" t="n">
        <f aca="false">0</f>
        <v>0</v>
      </c>
      <c r="N5" s="56" t="n">
        <f aca="false">IF(L5&lt;0,M5-L5,MAX(M5-L5,0))</f>
        <v>7081.18751967912</v>
      </c>
    </row>
    <row r="6" customFormat="false" ht="15" hidden="false" customHeight="true" outlineLevel="0" collapsed="false">
      <c r="A6" s="31" t="n">
        <v>2</v>
      </c>
      <c r="B6" s="58" t="n">
        <f aca="false">Paramètres!B27*12*(1+Paramètres!B28)^(2-1)</f>
        <v>9744</v>
      </c>
      <c r="C6" s="58" t="n">
        <f aca="false">B6*Paramètres!B29</f>
        <v>812</v>
      </c>
      <c r="D6" s="58" t="n">
        <f aca="false">B6-C6</f>
        <v>8932</v>
      </c>
      <c r="E6" s="58" t="n">
        <f aca="false">(Paramètres!$B$32+Paramètres!$B$33+Paramètres!$B$34)*(1+Paramètres!$B$37)^(2-1)+Paramètres!$B$36*(1+Paramètres!$B$78)^(2-1)+Paramètres!$B$35*(1+Paramètres!$B$79)^(2-1)</f>
        <v>2907</v>
      </c>
      <c r="F6" s="58" t="n">
        <f aca="false">'Amortissement crédit'!I5</f>
        <v>6007.25038058995</v>
      </c>
      <c r="G6" s="58" t="n">
        <f aca="false">IF(2&lt;=Paramètres!B40,Paramètres!B43,0)+IF(2&lt;=Paramètres!B41,Paramètres!B44,0)+IF(2&lt;=Paramètres!B42,Paramètres!B45,0)</f>
        <v>6797.61904761905</v>
      </c>
      <c r="H6" s="58" t="n">
        <f aca="false">IF(L6&lt;0,0,MAX(L6-M6,0))</f>
        <v>0</v>
      </c>
      <c r="I6" s="58" t="n">
        <f aca="false">H6*(Paramètres!D50+Paramètres!D51)</f>
        <v>0</v>
      </c>
      <c r="J6" s="58" t="n">
        <f aca="false">D6-E6-I6-Paramètres!B24</f>
        <v>-6571.72507459276</v>
      </c>
      <c r="K6" s="58" t="n">
        <f aca="false">J6+IF(2=Paramètres!B12,Paramètres!B18-'Amortissement crédit'!J5-'PV LMNP Réel'!B6,0)</f>
        <v>-6571.72507459276</v>
      </c>
      <c r="L6" s="56" t="n">
        <f aca="false">D6-E6-F6-G6</f>
        <v>-6779.869428209</v>
      </c>
      <c r="M6" s="56" t="n">
        <f aca="false">N5</f>
        <v>7081.18751967912</v>
      </c>
      <c r="N6" s="56" t="n">
        <f aca="false">IF(L6&lt;0,M6-L6,MAX(M6-L6,0))</f>
        <v>13861.0569478881</v>
      </c>
    </row>
    <row r="7" customFormat="false" ht="15" hidden="false" customHeight="true" outlineLevel="0" collapsed="false">
      <c r="A7" s="31" t="n">
        <v>3</v>
      </c>
      <c r="B7" s="58" t="n">
        <f aca="false">Paramètres!B27*12*(1+Paramètres!B28)^(3-1)</f>
        <v>9890.16</v>
      </c>
      <c r="C7" s="58" t="n">
        <f aca="false">B7*Paramètres!B29</f>
        <v>824.18</v>
      </c>
      <c r="D7" s="58" t="n">
        <f aca="false">B7-C7</f>
        <v>9065.98</v>
      </c>
      <c r="E7" s="58" t="n">
        <f aca="false">(Paramètres!$B$32+Paramètres!$B$33+Paramètres!$B$34)*(1+Paramètres!$B$37)^(3-1)+Paramètres!$B$36*(1+Paramètres!$B$78)^(3-1)+Paramètres!$B$35*(1+Paramètres!$B$79)^(3-1)</f>
        <v>2965.14</v>
      </c>
      <c r="F7" s="58" t="n">
        <f aca="false">'Amortissement crédit'!I6</f>
        <v>5772.88284420969</v>
      </c>
      <c r="G7" s="58" t="n">
        <f aca="false">IF(3&lt;=Paramètres!B40,Paramètres!B43,0)+IF(3&lt;=Paramètres!B41,Paramètres!B44,0)+IF(3&lt;=Paramètres!B42,Paramètres!B45,0)</f>
        <v>6797.61904761905</v>
      </c>
      <c r="H7" s="58" t="n">
        <f aca="false">IF(L7&lt;0,0,MAX(L7-M7,0))</f>
        <v>0</v>
      </c>
      <c r="I7" s="58" t="n">
        <f aca="false">H7*(Paramètres!D50+Paramètres!D51)</f>
        <v>0</v>
      </c>
      <c r="J7" s="58" t="n">
        <f aca="false">D7-E7-I7-Paramètres!B24</f>
        <v>-6495.88507459276</v>
      </c>
      <c r="K7" s="58" t="n">
        <f aca="false">J7+IF(3=Paramètres!B12,Paramètres!B18-'Amortissement crédit'!J6-'PV LMNP Réel'!B6,0)</f>
        <v>-6495.88507459276</v>
      </c>
      <c r="L7" s="56" t="n">
        <f aca="false">D7-E7-F7-G7</f>
        <v>-6469.66189182874</v>
      </c>
      <c r="M7" s="56" t="n">
        <f aca="false">N6</f>
        <v>13861.0569478881</v>
      </c>
      <c r="N7" s="56" t="n">
        <f aca="false">IF(L7&lt;0,M7-L7,MAX(M7-L7,0))</f>
        <v>20330.7188397169</v>
      </c>
    </row>
    <row r="8" customFormat="false" ht="15" hidden="false" customHeight="true" outlineLevel="0" collapsed="false">
      <c r="A8" s="31" t="n">
        <v>4</v>
      </c>
      <c r="B8" s="58" t="n">
        <f aca="false">Paramètres!B27*12*(1+Paramètres!B28)^(4-1)</f>
        <v>10038.5124</v>
      </c>
      <c r="C8" s="58" t="n">
        <f aca="false">B8*Paramètres!B29</f>
        <v>836.542699999999</v>
      </c>
      <c r="D8" s="58" t="n">
        <f aca="false">B8-C8</f>
        <v>9201.9697</v>
      </c>
      <c r="E8" s="58" t="n">
        <f aca="false">(Paramètres!$B$32+Paramètres!$B$33+Paramètres!$B$34)*(1+Paramètres!$B$37)^(4-1)+Paramètres!$B$36*(1+Paramètres!$B$78)^(4-1)+Paramètres!$B$35*(1+Paramètres!$B$79)^(4-1)</f>
        <v>3024.4428</v>
      </c>
      <c r="F8" s="58" t="n">
        <f aca="false">'Amortissement crédit'!I7</f>
        <v>5530.17956869093</v>
      </c>
      <c r="G8" s="58" t="n">
        <f aca="false">IF(4&lt;=Paramètres!B40,Paramètres!B43,0)+IF(4&lt;=Paramètres!B41,Paramètres!B44,0)+IF(4&lt;=Paramètres!B42,Paramètres!B45,0)</f>
        <v>6797.61904761905</v>
      </c>
      <c r="H8" s="58" t="n">
        <f aca="false">IF(L8&lt;0,0,MAX(L8-M8,0))</f>
        <v>0</v>
      </c>
      <c r="I8" s="58" t="n">
        <f aca="false">H8*(Paramètres!D50+Paramètres!D51)</f>
        <v>0</v>
      </c>
      <c r="J8" s="58" t="n">
        <f aca="false">D8-E8-I8-Paramètres!B24</f>
        <v>-6419.19817459276</v>
      </c>
      <c r="K8" s="58" t="n">
        <f aca="false">J8+IF(4=Paramètres!B12,Paramètres!B18-'Amortissement crédit'!J7-'PV LMNP Réel'!B6,0)</f>
        <v>-6419.19817459276</v>
      </c>
      <c r="L8" s="56" t="n">
        <f aca="false">D8-E8-F8-G8</f>
        <v>-6150.27171630998</v>
      </c>
      <c r="M8" s="56" t="n">
        <f aca="false">N7</f>
        <v>20330.7188397169</v>
      </c>
      <c r="N8" s="56" t="n">
        <f aca="false">IF(L8&lt;0,M8-L8,MAX(M8-L8,0))</f>
        <v>26480.9905560268</v>
      </c>
    </row>
    <row r="9" customFormat="false" ht="15" hidden="false" customHeight="true" outlineLevel="0" collapsed="false">
      <c r="A9" s="31" t="n">
        <v>5</v>
      </c>
      <c r="B9" s="58" t="n">
        <f aca="false">Paramètres!B27*12*(1+Paramètres!B28)^(5-1)</f>
        <v>10189.090086</v>
      </c>
      <c r="C9" s="58" t="n">
        <f aca="false">B9*Paramètres!B29</f>
        <v>849.090840499999</v>
      </c>
      <c r="D9" s="58" t="n">
        <f aca="false">B9-C9</f>
        <v>9339.9992455</v>
      </c>
      <c r="E9" s="58" t="n">
        <f aca="false">(Paramètres!$B$32+Paramètres!$B$33+Paramètres!$B$34)*(1+Paramètres!$B$37)^(5-1)+Paramètres!$B$36*(1+Paramètres!$B$78)^(5-1)+Paramètres!$B$35*(1+Paramètres!$B$79)^(5-1)</f>
        <v>3084.931656</v>
      </c>
      <c r="F9" s="58" t="n">
        <f aca="false">'Amortissement crédit'!I8</f>
        <v>5278.84407719196</v>
      </c>
      <c r="G9" s="58" t="n">
        <f aca="false">IF(5&lt;=Paramètres!B40,Paramètres!B43,0)+IF(5&lt;=Paramètres!B41,Paramètres!B44,0)+IF(5&lt;=Paramètres!B42,Paramètres!B45,0)</f>
        <v>6797.61904761905</v>
      </c>
      <c r="H9" s="58" t="n">
        <f aca="false">IF(L9&lt;0,0,MAX(L9-M9,0))</f>
        <v>0</v>
      </c>
      <c r="I9" s="58" t="n">
        <f aca="false">H9*(Paramètres!D50+Paramètres!D51)</f>
        <v>0</v>
      </c>
      <c r="J9" s="58" t="n">
        <f aca="false">D9-E9-I9-Paramètres!B24</f>
        <v>-6341.65748509276</v>
      </c>
      <c r="K9" s="58" t="n">
        <f aca="false">J9+IF(5=Paramètres!B12,Paramètres!B18-'Amortissement crédit'!J8-'PV LMNP Réel'!B6,0)</f>
        <v>-6341.65748509276</v>
      </c>
      <c r="L9" s="56" t="n">
        <f aca="false">D9-E9-F9-G9</f>
        <v>-5821.39553531101</v>
      </c>
      <c r="M9" s="56" t="n">
        <f aca="false">N8</f>
        <v>26480.9905560268</v>
      </c>
      <c r="N9" s="56" t="n">
        <f aca="false">IF(L9&lt;0,M9-L9,MAX(M9-L9,0))</f>
        <v>32302.3860913378</v>
      </c>
    </row>
    <row r="10" customFormat="false" ht="15" hidden="false" customHeight="true" outlineLevel="0" collapsed="false">
      <c r="A10" s="31" t="n">
        <v>6</v>
      </c>
      <c r="B10" s="58" t="n">
        <f aca="false">Paramètres!B27*12*(1+Paramètres!B28)^(6-1)</f>
        <v>10341.92643729</v>
      </c>
      <c r="C10" s="58" t="n">
        <f aca="false">B10*Paramètres!B29</f>
        <v>861.827203107499</v>
      </c>
      <c r="D10" s="58" t="n">
        <f aca="false">B10-C10</f>
        <v>9480.0992341825</v>
      </c>
      <c r="E10" s="58" t="n">
        <f aca="false">(Paramètres!$B$32+Paramètres!$B$33+Paramètres!$B$34)*(1+Paramètres!$B$37)^(6-1)+Paramètres!$B$36*(1+Paramètres!$B$78)^(6-1)+Paramètres!$B$35*(1+Paramètres!$B$79)^(6-1)</f>
        <v>3146.63028912</v>
      </c>
      <c r="F10" s="58" t="n">
        <f aca="false">'Amortissement crédit'!I9</f>
        <v>5018.56934809319</v>
      </c>
      <c r="G10" s="58" t="n">
        <f aca="false">IF(6&lt;=Paramètres!B40,Paramètres!B43,0)+IF(6&lt;=Paramètres!B41,Paramètres!B44,0)+IF(6&lt;=Paramètres!B42,Paramètres!B45,0)</f>
        <v>6797.61904761905</v>
      </c>
      <c r="H10" s="58" t="n">
        <f aca="false">IF(L10&lt;0,0,MAX(L10-M10,0))</f>
        <v>0</v>
      </c>
      <c r="I10" s="58" t="n">
        <f aca="false">H10*(Paramètres!D50+Paramètres!D51)</f>
        <v>0</v>
      </c>
      <c r="J10" s="58" t="n">
        <f aca="false">D10-E10-I10-Paramètres!B24</f>
        <v>-6263.25612953026</v>
      </c>
      <c r="K10" s="58" t="n">
        <f aca="false">J10+IF(6=Paramètres!B12,Paramètres!B18-'Amortissement crédit'!J9-'PV LMNP Réel'!B6,0)</f>
        <v>-6263.25612953026</v>
      </c>
      <c r="L10" s="56" t="n">
        <f aca="false">D10-E10-F10-G10</f>
        <v>-5482.71945064974</v>
      </c>
      <c r="M10" s="56" t="n">
        <f aca="false">N9</f>
        <v>32302.3860913378</v>
      </c>
      <c r="N10" s="56" t="n">
        <f aca="false">IF(L10&lt;0,M10-L10,MAX(M10-L10,0))</f>
        <v>37785.1055419876</v>
      </c>
    </row>
    <row r="11" customFormat="false" ht="15" hidden="false" customHeight="true" outlineLevel="0" collapsed="false">
      <c r="A11" s="31" t="n">
        <v>7</v>
      </c>
      <c r="B11" s="58" t="n">
        <f aca="false">Paramètres!B27*12*(1+Paramètres!B28)^(7-1)</f>
        <v>10497.0553338493</v>
      </c>
      <c r="C11" s="58" t="n">
        <f aca="false">B11*Paramètres!B29</f>
        <v>874.754611154112</v>
      </c>
      <c r="D11" s="58" t="n">
        <f aca="false">B11-C11</f>
        <v>9622.30072269523</v>
      </c>
      <c r="E11" s="58" t="n">
        <f aca="false">(Paramètres!$B$32+Paramètres!$B$33+Paramètres!$B$34)*(1+Paramètres!$B$37)^(7-1)+Paramètres!$B$36*(1+Paramètres!$B$78)^(7-1)+Paramètres!$B$35*(1+Paramètres!$B$79)^(7-1)</f>
        <v>3209.5628949024</v>
      </c>
      <c r="F11" s="58" t="n">
        <f aca="false">'Amortissement crédit'!I10</f>
        <v>4749.03743995155</v>
      </c>
      <c r="G11" s="58" t="n">
        <f aca="false">IF(7&lt;=Paramètres!B40,Paramètres!B43,0)+IF(7&lt;=Paramètres!B41,Paramètres!B44,0)+IF(7&lt;=Paramètres!B42,Paramètres!B45,0)</f>
        <v>6797.61904761905</v>
      </c>
      <c r="H11" s="58" t="n">
        <f aca="false">IF(L11&lt;0,0,MAX(L11-M11,0))</f>
        <v>0</v>
      </c>
      <c r="I11" s="58" t="n">
        <f aca="false">H11*(Paramètres!D50+Paramètres!D51)</f>
        <v>0</v>
      </c>
      <c r="J11" s="58" t="n">
        <f aca="false">D11-E11-I11-Paramètres!B24</f>
        <v>-6183.98724679992</v>
      </c>
      <c r="K11" s="58" t="n">
        <f aca="false">J11+IF(7=Paramètres!B12,Paramètres!B18-'Amortissement crédit'!J10-'PV LMNP Réel'!B6,0)</f>
        <v>-6183.98724679992</v>
      </c>
      <c r="L11" s="56" t="n">
        <f aca="false">D11-E11-F11-G11</f>
        <v>-5133.91865977776</v>
      </c>
      <c r="M11" s="56" t="n">
        <f aca="false">N10</f>
        <v>37785.1055419876</v>
      </c>
      <c r="N11" s="56" t="n">
        <f aca="false">IF(L11&lt;0,M11-L11,MAX(M11-L11,0))</f>
        <v>42919.0242017654</v>
      </c>
    </row>
    <row r="12" customFormat="false" ht="15" hidden="false" customHeight="true" outlineLevel="0" collapsed="false">
      <c r="A12" s="31" t="n">
        <v>8</v>
      </c>
      <c r="B12" s="58" t="n">
        <f aca="false">Paramètres!B27*12*(1+Paramètres!B28)^(8-1)</f>
        <v>10654.5111638571</v>
      </c>
      <c r="C12" s="58" t="n">
        <f aca="false">B12*Paramètres!B29</f>
        <v>887.875930321423</v>
      </c>
      <c r="D12" s="58" t="n">
        <f aca="false">B12-C12</f>
        <v>9766.63523353566</v>
      </c>
      <c r="E12" s="58" t="n">
        <f aca="false">(Paramètres!$B$32+Paramètres!$B$33+Paramètres!$B$34)*(1+Paramètres!$B$37)^(8-1)+Paramètres!$B$36*(1+Paramètres!$B$78)^(8-1)+Paramètres!$B$35*(1+Paramètres!$B$79)^(8-1)</f>
        <v>3273.75415280045</v>
      </c>
      <c r="F12" s="58" t="n">
        <f aca="false">'Amortissement crédit'!I11</f>
        <v>4469.91910311559</v>
      </c>
      <c r="G12" s="58" t="n">
        <f aca="false">IF(8&lt;=Paramètres!B40,Paramètres!B43,0)+IF(8&lt;=Paramètres!B41,Paramètres!B44,0)+IF(8&lt;=Paramètres!B42,Paramètres!B45,0)</f>
        <v>6083.33333333333</v>
      </c>
      <c r="H12" s="58" t="n">
        <f aca="false">IF(L12&lt;0,0,MAX(L12-M12,0))</f>
        <v>0</v>
      </c>
      <c r="I12" s="58" t="n">
        <f aca="false">H12*(Paramètres!D50+Paramètres!D51)</f>
        <v>0</v>
      </c>
      <c r="J12" s="58" t="n">
        <f aca="false">D12-E12-I12-Paramètres!B24</f>
        <v>-6103.84399385754</v>
      </c>
      <c r="K12" s="58" t="n">
        <f aca="false">J12+IF(8=Paramètres!B12,Paramètres!B18-'Amortissement crédit'!J11-'PV LMNP Réel'!B6,0)</f>
        <v>-6103.84399385754</v>
      </c>
      <c r="L12" s="56" t="n">
        <f aca="false">D12-E12-F12-G12</f>
        <v>-4060.37135571371</v>
      </c>
      <c r="M12" s="56" t="n">
        <f aca="false">N11</f>
        <v>42919.0242017654</v>
      </c>
      <c r="N12" s="56" t="n">
        <f aca="false">IF(L12&lt;0,M12-L12,MAX(M12-L12,0))</f>
        <v>46979.3955574791</v>
      </c>
    </row>
    <row r="13" customFormat="false" ht="15" hidden="false" customHeight="true" outlineLevel="0" collapsed="false">
      <c r="A13" s="31" t="n">
        <v>9</v>
      </c>
      <c r="B13" s="58" t="n">
        <f aca="false">Paramètres!B27*12*(1+Paramètres!B28)^(9-1)</f>
        <v>10814.3288313149</v>
      </c>
      <c r="C13" s="58" t="n">
        <f aca="false">B13*Paramètres!B29</f>
        <v>901.194069276245</v>
      </c>
      <c r="D13" s="58" t="n">
        <f aca="false">B13-C13</f>
        <v>9913.1347620387</v>
      </c>
      <c r="E13" s="58" t="n">
        <f aca="false">(Paramètres!$B$32+Paramètres!$B$33+Paramètres!$B$34)*(1+Paramètres!$B$37)^(9-1)+Paramètres!$B$36*(1+Paramètres!$B$78)^(9-1)+Paramètres!$B$35*(1+Paramètres!$B$79)^(9-1)</f>
        <v>3339.22923585646</v>
      </c>
      <c r="F13" s="58" t="n">
        <f aca="false">'Amortissement crédit'!I12</f>
        <v>4180.87337752703</v>
      </c>
      <c r="G13" s="58" t="n">
        <f aca="false">IF(9&lt;=Paramètres!B40,Paramètres!B43,0)+IF(9&lt;=Paramètres!B41,Paramètres!B44,0)+IF(9&lt;=Paramètres!B42,Paramètres!B45,0)</f>
        <v>6083.33333333333</v>
      </c>
      <c r="H13" s="58" t="n">
        <f aca="false">IF(L13&lt;0,0,MAX(L13-M13,0))</f>
        <v>0</v>
      </c>
      <c r="I13" s="58" t="n">
        <f aca="false">H13*(Paramètres!D50+Paramètres!D51)</f>
        <v>0</v>
      </c>
      <c r="J13" s="58" t="n">
        <f aca="false">D13-E13-I13-Paramètres!B24</f>
        <v>-6022.81954841052</v>
      </c>
      <c r="K13" s="58" t="n">
        <f aca="false">J13+IF(9=Paramètres!B12,Paramètres!B18-'Amortissement crédit'!J12-'PV LMNP Réel'!B6,0)</f>
        <v>-6022.81954841052</v>
      </c>
      <c r="L13" s="56" t="n">
        <f aca="false">D13-E13-F13-G13</f>
        <v>-3690.30118467812</v>
      </c>
      <c r="M13" s="56" t="n">
        <f aca="false">N12</f>
        <v>46979.3955574791</v>
      </c>
      <c r="N13" s="56" t="n">
        <f aca="false">IF(L13&lt;0,M13-L13,MAX(M13-L13,0))</f>
        <v>50669.6967421572</v>
      </c>
    </row>
    <row r="14" customFormat="false" ht="15" hidden="false" customHeight="true" outlineLevel="0" collapsed="false">
      <c r="A14" s="31" t="n">
        <v>10</v>
      </c>
      <c r="B14" s="58" t="n">
        <f aca="false">Paramètres!B27*12*(1+Paramètres!B28)^(10-1)</f>
        <v>10976.5437637847</v>
      </c>
      <c r="C14" s="58" t="n">
        <f aca="false">B14*Paramètres!B29</f>
        <v>914.711980315388</v>
      </c>
      <c r="D14" s="58" t="n">
        <f aca="false">B14-C14</f>
        <v>10061.8317834693</v>
      </c>
      <c r="E14" s="58" t="n">
        <f aca="false">(Paramètres!$B$32+Paramètres!$B$33+Paramètres!$B$34)*(1+Paramètres!$B$37)^(10-1)+Paramètres!$B$36*(1+Paramètres!$B$78)^(10-1)+Paramètres!$B$35*(1+Paramètres!$B$79)^(10-1)</f>
        <v>3406.01382057359</v>
      </c>
      <c r="F14" s="58" t="n">
        <f aca="false">'Amortissement crédit'!I13</f>
        <v>3881.54717621722</v>
      </c>
      <c r="G14" s="58" t="n">
        <f aca="false">IF(10&lt;=Paramètres!B40,Paramètres!B43,0)+IF(10&lt;=Paramètres!B41,Paramètres!B44,0)+IF(10&lt;=Paramètres!B42,Paramètres!B45,0)</f>
        <v>6083.33333333333</v>
      </c>
      <c r="H14" s="58" t="n">
        <f aca="false">IF(L14&lt;0,0,MAX(L14-M14,0))</f>
        <v>0</v>
      </c>
      <c r="I14" s="58" t="n">
        <f aca="false">H14*(Paramètres!D50+Paramètres!D51)</f>
        <v>0</v>
      </c>
      <c r="J14" s="58" t="n">
        <f aca="false">D14-E14-I14-Paramètres!B24</f>
        <v>-5940.90711169707</v>
      </c>
      <c r="K14" s="58" t="n">
        <f aca="false">J14+IF(10=Paramètres!B12,Paramètres!B18-'Amortissement crédit'!J13-'PV LMNP Réel'!B6,0)</f>
        <v>-5940.90711169707</v>
      </c>
      <c r="L14" s="56" t="n">
        <f aca="false">D14-E14-F14-G14</f>
        <v>-3309.06254665487</v>
      </c>
      <c r="M14" s="56" t="n">
        <f aca="false">N13</f>
        <v>50669.6967421572</v>
      </c>
      <c r="N14" s="56" t="n">
        <f aca="false">IF(L14&lt;0,M14-L14,MAX(M14-L14,0))</f>
        <v>53978.7592888121</v>
      </c>
    </row>
    <row r="15" customFormat="false" ht="15" hidden="false" customHeight="true" outlineLevel="0" collapsed="false">
      <c r="A15" s="31" t="n">
        <v>11</v>
      </c>
      <c r="B15" s="58" t="n">
        <f aca="false">Paramètres!B27*12*(1+Paramètres!B28)^(11-1)</f>
        <v>11141.1919202414</v>
      </c>
      <c r="C15" s="58" t="n">
        <f aca="false">B15*Paramètres!B29</f>
        <v>928.432660020119</v>
      </c>
      <c r="D15" s="58" t="n">
        <f aca="false">B15-C15</f>
        <v>10212.7592602213</v>
      </c>
      <c r="E15" s="58" t="n">
        <f aca="false">(Paramètres!$B$32+Paramètres!$B$33+Paramètres!$B$34)*(1+Paramètres!$B$37)^(11-1)+Paramètres!$B$36*(1+Paramètres!$B$78)^(11-1)+Paramètres!$B$35*(1+Paramètres!$B$79)^(11-1)</f>
        <v>3474.13409698506</v>
      </c>
      <c r="F15" s="58" t="n">
        <f aca="false">'Amortissement crédit'!I14</f>
        <v>3571.57485398994</v>
      </c>
      <c r="G15" s="58" t="n">
        <f aca="false">IF(11&lt;=Paramètres!B40,Paramètres!B43,0)+IF(11&lt;=Paramètres!B41,Paramètres!B44,0)+IF(11&lt;=Paramètres!B42,Paramètres!B45,0)</f>
        <v>6083.33333333333</v>
      </c>
      <c r="H15" s="58" t="n">
        <f aca="false">IF(L15&lt;0,0,MAX(L15-M15,0))</f>
        <v>0</v>
      </c>
      <c r="I15" s="58" t="n">
        <f aca="false">H15*(Paramètres!D50+Paramètres!D51)</f>
        <v>0</v>
      </c>
      <c r="J15" s="58" t="n">
        <f aca="false">D15-E15-I15-Paramètres!B24</f>
        <v>-5858.0999113565</v>
      </c>
      <c r="K15" s="58" t="n">
        <f aca="false">J15+IF(11=Paramètres!B12,Paramètres!B18-'Amortissement crédit'!J14-'PV LMNP Réel'!B6,0)</f>
        <v>-5858.0999113565</v>
      </c>
      <c r="L15" s="56" t="n">
        <f aca="false">D15-E15-F15-G15</f>
        <v>-2916.28302408702</v>
      </c>
      <c r="M15" s="56" t="n">
        <f aca="false">N14</f>
        <v>53978.7592888121</v>
      </c>
      <c r="N15" s="56" t="n">
        <f aca="false">IF(L15&lt;0,M15-L15,MAX(M15-L15,0))</f>
        <v>56895.0423128991</v>
      </c>
    </row>
    <row r="16" customFormat="false" ht="15" hidden="false" customHeight="true" outlineLevel="0" collapsed="false">
      <c r="A16" s="31" t="n">
        <v>12</v>
      </c>
      <c r="B16" s="58" t="n">
        <f aca="false">Paramètres!B27*12*(1+Paramètres!B28)^(12-1)</f>
        <v>11308.3097990451</v>
      </c>
      <c r="C16" s="58" t="n">
        <f aca="false">B16*Paramètres!B29</f>
        <v>942.359149920421</v>
      </c>
      <c r="D16" s="58" t="n">
        <f aca="false">B16-C16</f>
        <v>10365.9506491246</v>
      </c>
      <c r="E16" s="58" t="n">
        <f aca="false">(Paramètres!$B$32+Paramètres!$B$33+Paramètres!$B$34)*(1+Paramètres!$B$37)^(12-1)+Paramètres!$B$36*(1+Paramètres!$B$78)^(12-1)+Paramètres!$B$35*(1+Paramètres!$B$79)^(12-1)</f>
        <v>3543.61677892476</v>
      </c>
      <c r="F16" s="58" t="n">
        <f aca="false">'Amortissement crédit'!I15</f>
        <v>3250.57776076344</v>
      </c>
      <c r="G16" s="58" t="n">
        <f aca="false">IF(12&lt;=Paramètres!B40,Paramètres!B43,0)+IF(12&lt;=Paramètres!B41,Paramètres!B44,0)+IF(12&lt;=Paramètres!B42,Paramètres!B45,0)</f>
        <v>6083.33333333333</v>
      </c>
      <c r="H16" s="58" t="n">
        <f aca="false">IF(L16&lt;0,0,MAX(L16-M16,0))</f>
        <v>0</v>
      </c>
      <c r="I16" s="58" t="n">
        <f aca="false">H16*(Paramètres!D50+Paramètres!D51)</f>
        <v>0</v>
      </c>
      <c r="J16" s="58" t="n">
        <f aca="false">D16-E16-I16-Paramètres!B24</f>
        <v>-5774.39120439289</v>
      </c>
      <c r="K16" s="58" t="n">
        <f aca="false">J16+IF(12=Paramètres!B12,Paramètres!B18-'Amortissement crédit'!J15-'PV LMNP Réel'!B6,0)</f>
        <v>-5774.39120439289</v>
      </c>
      <c r="L16" s="56" t="n">
        <f aca="false">D16-E16-F16-G16</f>
        <v>-2511.57722389691</v>
      </c>
      <c r="M16" s="56" t="n">
        <f aca="false">N15</f>
        <v>56895.0423128991</v>
      </c>
      <c r="N16" s="56" t="n">
        <f aca="false">IF(L16&lt;0,M16-L16,MAX(M16-L16,0))</f>
        <v>59406.619536796</v>
      </c>
    </row>
    <row r="17" customFormat="false" ht="15" hidden="false" customHeight="true" outlineLevel="0" collapsed="false">
      <c r="A17" s="31" t="n">
        <v>13</v>
      </c>
      <c r="B17" s="58" t="n">
        <f aca="false">Paramètres!B27*12*(1+Paramètres!B28)^(13-1)</f>
        <v>11477.9344460307</v>
      </c>
      <c r="C17" s="58" t="n">
        <f aca="false">B17*Paramètres!B29</f>
        <v>956.494537169227</v>
      </c>
      <c r="D17" s="58" t="n">
        <f aca="false">B17-C17</f>
        <v>10521.4399088615</v>
      </c>
      <c r="E17" s="58" t="n">
        <f aca="false">(Paramètres!$B$32+Paramètres!$B$33+Paramètres!$B$34)*(1+Paramètres!$B$37)^(13-1)+Paramètres!$B$36*(1+Paramètres!$B$78)^(13-1)+Paramètres!$B$35*(1+Paramètres!$B$79)^(13-1)</f>
        <v>3614.48911450325</v>
      </c>
      <c r="F17" s="58" t="n">
        <f aca="false">'Amortissement crédit'!I16</f>
        <v>2918.16377902637</v>
      </c>
      <c r="G17" s="58" t="n">
        <f aca="false">IF(13&lt;=Paramètres!B40,Paramètres!B43,0)+IF(13&lt;=Paramètres!B41,Paramètres!B44,0)+IF(13&lt;=Paramètres!B42,Paramètres!B45,0)</f>
        <v>5666.66666666667</v>
      </c>
      <c r="H17" s="58" t="n">
        <f aca="false">IF(L17&lt;0,0,MAX(L17-M17,0))</f>
        <v>0</v>
      </c>
      <c r="I17" s="58" t="n">
        <f aca="false">H17*(Paramètres!D50+Paramètres!D51)</f>
        <v>0</v>
      </c>
      <c r="J17" s="58" t="n">
        <f aca="false">D17-E17-I17-Paramètres!B24</f>
        <v>-5689.77428023451</v>
      </c>
      <c r="K17" s="58" t="n">
        <f aca="false">J17+IF(13=Paramètres!B12,Paramètres!B18-'Amortissement crédit'!J16-'PV LMNP Réel'!B6,0)</f>
        <v>-5689.77428023451</v>
      </c>
      <c r="L17" s="56" t="n">
        <f aca="false">D17-E17-F17-G17</f>
        <v>-1677.87965133479</v>
      </c>
      <c r="M17" s="56" t="n">
        <f aca="false">N16</f>
        <v>59406.619536796</v>
      </c>
      <c r="N17" s="56" t="n">
        <f aca="false">IF(L17&lt;0,M17-L17,MAX(M17-L17,0))</f>
        <v>61084.4991881308</v>
      </c>
    </row>
    <row r="18" customFormat="false" ht="15" hidden="false" customHeight="true" outlineLevel="0" collapsed="false">
      <c r="A18" s="31" t="n">
        <v>14</v>
      </c>
      <c r="B18" s="58" t="n">
        <f aca="false">Paramètres!B27*12*(1+Paramètres!B28)^(14-1)</f>
        <v>11650.1034627212</v>
      </c>
      <c r="C18" s="58" t="n">
        <f aca="false">B18*Paramètres!B29</f>
        <v>970.841955226765</v>
      </c>
      <c r="D18" s="58" t="n">
        <f aca="false">B18-C18</f>
        <v>10679.2615074944</v>
      </c>
      <c r="E18" s="58" t="n">
        <f aca="false">(Paramètres!$B$32+Paramètres!$B$33+Paramètres!$B$34)*(1+Paramètres!$B$37)^(14-1)+Paramètres!$B$36*(1+Paramètres!$B$78)^(14-1)+Paramètres!$B$35*(1+Paramètres!$B$79)^(14-1)</f>
        <v>3686.77889679332</v>
      </c>
      <c r="F18" s="58" t="n">
        <f aca="false">'Amortissement crédit'!I17</f>
        <v>2573.92684484227</v>
      </c>
      <c r="G18" s="58" t="n">
        <f aca="false">IF(14&lt;=Paramètres!B40,Paramètres!B43,0)+IF(14&lt;=Paramètres!B41,Paramètres!B44,0)+IF(14&lt;=Paramètres!B42,Paramètres!B45,0)</f>
        <v>5666.66666666667</v>
      </c>
      <c r="H18" s="58" t="n">
        <f aca="false">IF(L18&lt;0,0,MAX(L18-M18,0))</f>
        <v>0</v>
      </c>
      <c r="I18" s="58" t="n">
        <f aca="false">H18*(Paramètres!D50+Paramètres!D51)</f>
        <v>0</v>
      </c>
      <c r="J18" s="58" t="n">
        <f aca="false">D18-E18-I18-Paramètres!B24</f>
        <v>-5604.24246389165</v>
      </c>
      <c r="K18" s="58" t="n">
        <f aca="false">J18+IF(14=Paramètres!B12,Paramètres!B18-'Amortissement crédit'!J17-'PV LMNP Réel'!B6,0)</f>
        <v>-5604.24246389165</v>
      </c>
      <c r="L18" s="56" t="n">
        <f aca="false">D18-E18-F18-G18</f>
        <v>-1248.11090080783</v>
      </c>
      <c r="M18" s="56" t="n">
        <f aca="false">N17</f>
        <v>61084.4991881308</v>
      </c>
      <c r="N18" s="56" t="n">
        <f aca="false">IF(L18&lt;0,M18-L18,MAX(M18-L18,0))</f>
        <v>62332.6100889386</v>
      </c>
    </row>
    <row r="19" customFormat="false" ht="15" hidden="false" customHeight="true" outlineLevel="0" collapsed="false">
      <c r="A19" s="31" t="n">
        <v>15</v>
      </c>
      <c r="B19" s="58" t="n">
        <f aca="false">Paramètres!B27*12*(1+Paramètres!B28)^(15-1)</f>
        <v>11824.855014662</v>
      </c>
      <c r="C19" s="58" t="n">
        <f aca="false">B19*Paramètres!B29</f>
        <v>985.404584555166</v>
      </c>
      <c r="D19" s="58" t="n">
        <f aca="false">B19-C19</f>
        <v>10839.4504301068</v>
      </c>
      <c r="E19" s="58" t="n">
        <f aca="false">(Paramètres!$B$32+Paramètres!$B$33+Paramètres!$B$34)*(1+Paramètres!$B$37)^(15-1)+Paramètres!$B$36*(1+Paramètres!$B$78)^(15-1)+Paramètres!$B$35*(1+Paramètres!$B$79)^(15-1)</f>
        <v>3760.51447472919</v>
      </c>
      <c r="F19" s="58" t="n">
        <f aca="false">'Amortissement crédit'!I18</f>
        <v>2217.44645181778</v>
      </c>
      <c r="G19" s="58" t="n">
        <f aca="false">IF(15&lt;=Paramètres!B40,Paramètres!B43,0)+IF(15&lt;=Paramètres!B41,Paramètres!B44,0)+IF(15&lt;=Paramètres!B42,Paramètres!B45,0)</f>
        <v>5666.66666666667</v>
      </c>
      <c r="H19" s="58" t="n">
        <f aca="false">IF(L19&lt;0,0,MAX(L19-M19,0))</f>
        <v>0</v>
      </c>
      <c r="I19" s="58" t="n">
        <f aca="false">H19*(Paramètres!D50+Paramètres!D51)</f>
        <v>0</v>
      </c>
      <c r="J19" s="58" t="n">
        <f aca="false">D19-E19-I19-Paramètres!B24</f>
        <v>-5517.78911921511</v>
      </c>
      <c r="K19" s="58" t="n">
        <f aca="false">J19+IF(15=Paramètres!B12,Paramètres!B18-'Amortissement crédit'!J18-'PV LMNP Réel'!B6,0)</f>
        <v>172147.046057615</v>
      </c>
      <c r="L19" s="56" t="n">
        <f aca="false">D19-E19-F19-G19</f>
        <v>-805.177163106796</v>
      </c>
      <c r="M19" s="56" t="n">
        <f aca="false">N18</f>
        <v>62332.6100889386</v>
      </c>
      <c r="N19" s="56" t="n">
        <f aca="false">IF(L19&lt;0,M19-L19,MAX(M19-L19,0))</f>
        <v>63137.7872520454</v>
      </c>
    </row>
    <row r="20" customFormat="false" ht="15" hidden="false" customHeight="true" outlineLevel="0" collapsed="false">
      <c r="A20" s="31" t="n">
        <v>16</v>
      </c>
      <c r="B20" s="41" t="n">
        <f aca="false">Paramètres!B27*12*(1+Paramètres!B28)^(16-1)</f>
        <v>12002.2278398819</v>
      </c>
      <c r="C20" s="41" t="n">
        <f aca="false">B20*Paramètres!B29</f>
        <v>1000.18565332349</v>
      </c>
      <c r="D20" s="41" t="n">
        <f aca="false">B20-C20</f>
        <v>11002.0421865584</v>
      </c>
      <c r="E20" s="41" t="n">
        <f aca="false">(Paramètres!$B$32+Paramètres!$B$33+Paramètres!$B$34)*(1+Paramètres!$B$37)^(16-1)+Paramètres!$B$36*(1+Paramètres!$B$78)^(16-1)+Paramètres!$B$35*(1+Paramètres!$B$79)^(16-1)</f>
        <v>3835.72476422377</v>
      </c>
      <c r="F20" s="41" t="n">
        <f aca="false">'Amortissement crédit'!I19</f>
        <v>1848.28713742842</v>
      </c>
      <c r="G20" s="41" t="n">
        <f aca="false">IF(16&lt;=Paramètres!B40,Paramètres!B43,0)+IF(16&lt;=Paramètres!B41,Paramètres!B44,0)+IF(16&lt;=Paramètres!B42,Paramètres!B45,0)</f>
        <v>5666.66666666667</v>
      </c>
      <c r="H20" s="41" t="n">
        <f aca="false">IF(L20&lt;0,0,MAX(L20-M20,0))</f>
        <v>0</v>
      </c>
      <c r="I20" s="41" t="n">
        <f aca="false">H20*(Paramètres!D50+Paramètres!D51)</f>
        <v>0</v>
      </c>
      <c r="J20" s="41" t="n">
        <f aca="false">D20-E20-I20-Paramètres!B24</f>
        <v>-5430.40765225809</v>
      </c>
      <c r="K20" s="41" t="n">
        <f aca="false">J20+IF(16=Paramètres!B12,Paramètres!B18-'Amortissement crédit'!J19-'PV LMNP Réel'!B6,0)</f>
        <v>-5430.40765225809</v>
      </c>
      <c r="L20" s="56" t="n">
        <f aca="false">D20-E20-F20-G20</f>
        <v>-348.636381760422</v>
      </c>
      <c r="M20" s="56" t="n">
        <f aca="false">N19</f>
        <v>63137.7872520454</v>
      </c>
      <c r="N20" s="56" t="n">
        <f aca="false">IF(L20&lt;0,M20-L20,MAX(M20-L20,0))</f>
        <v>63486.4236338058</v>
      </c>
    </row>
    <row r="21" customFormat="false" ht="15" hidden="false" customHeight="true" outlineLevel="0" collapsed="false">
      <c r="A21" s="31" t="n">
        <v>17</v>
      </c>
      <c r="B21" s="41" t="n">
        <f aca="false">Paramètres!B27*12*(1+Paramètres!B28)^(17-1)</f>
        <v>12182.2612574802</v>
      </c>
      <c r="C21" s="41" t="n">
        <f aca="false">B21*Paramètres!B29</f>
        <v>1015.18843812335</v>
      </c>
      <c r="D21" s="41" t="n">
        <f aca="false">B21-C21</f>
        <v>11167.0728193568</v>
      </c>
      <c r="E21" s="41" t="n">
        <f aca="false">(Paramètres!$B$32+Paramètres!$B$33+Paramètres!$B$34)*(1+Paramètres!$B$37)^(17-1)+Paramètres!$B$36*(1+Paramètres!$B$78)^(17-1)+Paramètres!$B$35*(1+Paramètres!$B$79)^(17-1)</f>
        <v>3912.43925950825</v>
      </c>
      <c r="F21" s="41" t="n">
        <f aca="false">'Amortissement crédit'!I20</f>
        <v>1465.99795107461</v>
      </c>
      <c r="G21" s="41" t="n">
        <f aca="false">IF(17&lt;=Paramètres!B40,Paramètres!B43,0)+IF(17&lt;=Paramètres!B41,Paramètres!B44,0)+IF(17&lt;=Paramètres!B42,Paramètres!B45,0)</f>
        <v>5666.66666666667</v>
      </c>
      <c r="H21" s="41" t="n">
        <f aca="false">IF(L21&lt;0,0,MAX(L21-M21,0))</f>
        <v>0</v>
      </c>
      <c r="I21" s="41" t="n">
        <f aca="false">H21*(Paramètres!D50+Paramètres!D51)</f>
        <v>0</v>
      </c>
      <c r="J21" s="41" t="n">
        <f aca="false">D21-E21-I21-Paramètres!B24</f>
        <v>-5342.09151474419</v>
      </c>
      <c r="K21" s="41" t="n">
        <f aca="false">J21+IF(17=Paramètres!B12,Paramètres!B18-'Amortissement crédit'!J20-'PV LMNP Réel'!B6,0)</f>
        <v>-5342.09151474419</v>
      </c>
      <c r="L21" s="56" t="n">
        <f aca="false">D21-E21-F21-G21</f>
        <v>121.968942107285</v>
      </c>
      <c r="M21" s="56" t="n">
        <f aca="false">N20</f>
        <v>63486.4236338058</v>
      </c>
      <c r="N21" s="56" t="n">
        <f aca="false">IF(L21&lt;0,M21-L21,MAX(M21-L21,0))</f>
        <v>63364.4546916986</v>
      </c>
    </row>
    <row r="22" customFormat="false" ht="15" hidden="false" customHeight="true" outlineLevel="0" collapsed="false">
      <c r="A22" s="31" t="n">
        <v>18</v>
      </c>
      <c r="B22" s="41" t="n">
        <f aca="false">Paramètres!B27*12*(1+Paramètres!B28)^(18-1)</f>
        <v>12364.9951763424</v>
      </c>
      <c r="C22" s="41" t="n">
        <f aca="false">B22*Paramètres!B29</f>
        <v>1030.4162646952</v>
      </c>
      <c r="D22" s="41" t="n">
        <f aca="false">B22-C22</f>
        <v>11334.5789116472</v>
      </c>
      <c r="E22" s="41" t="n">
        <f aca="false">(Paramètres!$B$32+Paramètres!$B$33+Paramètres!$B$34)*(1+Paramètres!$B$37)^(18-1)+Paramètres!$B$36*(1+Paramètres!$B$78)^(18-1)+Paramètres!$B$35*(1+Paramètres!$B$79)^(18-1)</f>
        <v>3990.68804469841</v>
      </c>
      <c r="F22" s="41" t="n">
        <f aca="false">'Amortissement crédit'!I21</f>
        <v>1070.11190321801</v>
      </c>
      <c r="G22" s="41" t="n">
        <f aca="false">IF(18&lt;=Paramètres!B40,Paramètres!B43,0)+IF(18&lt;=Paramètres!B41,Paramètres!B44,0)+IF(18&lt;=Paramètres!B42,Paramètres!B45,0)</f>
        <v>5666.66666666667</v>
      </c>
      <c r="H22" s="41" t="n">
        <f aca="false">IF(L22&lt;0,0,MAX(L22-M22,0))</f>
        <v>0</v>
      </c>
      <c r="I22" s="41" t="n">
        <f aca="false">H22*(Paramètres!D50+Paramètres!D51)</f>
        <v>0</v>
      </c>
      <c r="J22" s="41" t="n">
        <f aca="false">D22-E22-I22-Paramètres!B24</f>
        <v>-5252.834207644</v>
      </c>
      <c r="K22" s="41" t="n">
        <f aca="false">J22+IF(18=Paramètres!B12,Paramètres!B18-'Amortissement crédit'!J21-'PV LMNP Réel'!B6,0)</f>
        <v>-5252.834207644</v>
      </c>
      <c r="L22" s="56" t="n">
        <f aca="false">D22-E22-F22-G22</f>
        <v>607.112297064079</v>
      </c>
      <c r="M22" s="56" t="n">
        <f aca="false">N21</f>
        <v>63364.4546916986</v>
      </c>
      <c r="N22" s="56" t="n">
        <f aca="false">IF(L22&lt;0,M22-L22,MAX(M22-L22,0))</f>
        <v>62757.3423946345</v>
      </c>
    </row>
    <row r="23" customFormat="false" ht="15" hidden="false" customHeight="true" outlineLevel="0" collapsed="false">
      <c r="A23" s="31" t="n">
        <v>19</v>
      </c>
      <c r="B23" s="41" t="n">
        <f aca="false">Paramètres!B27*12*(1+Paramètres!B28)^(19-1)</f>
        <v>12550.4701039875</v>
      </c>
      <c r="C23" s="41" t="n">
        <f aca="false">B23*Paramètres!B29</f>
        <v>1045.87250866562</v>
      </c>
      <c r="D23" s="41" t="n">
        <f aca="false">B23-C23</f>
        <v>11504.5975953219</v>
      </c>
      <c r="E23" s="41" t="n">
        <f aca="false">(Paramètres!$B$32+Paramètres!$B$33+Paramètres!$B$34)*(1+Paramètres!$B$37)^(19-1)+Paramètres!$B$36*(1+Paramètres!$B$78)^(19-1)+Paramètres!$B$35*(1+Paramètres!$B$79)^(19-1)</f>
        <v>4070.50180559238</v>
      </c>
      <c r="F23" s="41" t="n">
        <f aca="false">'Amortissement crédit'!I22</f>
        <v>660.145394925319</v>
      </c>
      <c r="G23" s="41" t="n">
        <f aca="false">IF(19&lt;=Paramètres!B40,Paramètres!B43,0)+IF(19&lt;=Paramètres!B41,Paramètres!B44,0)+IF(19&lt;=Paramètres!B42,Paramètres!B45,0)</f>
        <v>5666.66666666667</v>
      </c>
      <c r="H23" s="41" t="n">
        <f aca="false">IF(L23&lt;0,0,MAX(L23-M23,0))</f>
        <v>0</v>
      </c>
      <c r="I23" s="41" t="n">
        <f aca="false">H23*(Paramètres!D50+Paramètres!D51)</f>
        <v>0</v>
      </c>
      <c r="J23" s="41" t="n">
        <f aca="false">D23-E23-I23-Paramètres!B24</f>
        <v>-5162.62928486326</v>
      </c>
      <c r="K23" s="41" t="n">
        <f aca="false">J23+IF(19=Paramètres!B12,Paramètres!B18-'Amortissement crédit'!J22-'PV LMNP Réel'!B6,0)</f>
        <v>-5162.62928486326</v>
      </c>
      <c r="L23" s="56" t="n">
        <f aca="false">D23-E23-F23-G23</f>
        <v>1107.2837281375</v>
      </c>
      <c r="M23" s="56" t="n">
        <f aca="false">N22</f>
        <v>62757.3423946345</v>
      </c>
      <c r="N23" s="56" t="n">
        <f aca="false">IF(L23&lt;0,M23-L23,MAX(M23-L23,0))</f>
        <v>61650.058666497</v>
      </c>
    </row>
    <row r="24" customFormat="false" ht="15" hidden="false" customHeight="true" outlineLevel="0" collapsed="false">
      <c r="A24" s="31" t="n">
        <v>20</v>
      </c>
      <c r="B24" s="41" t="n">
        <f aca="false">Paramètres!B27*12*(1+Paramètres!B28)^(20-1)</f>
        <v>12738.7271555473</v>
      </c>
      <c r="C24" s="41" t="n">
        <f aca="false">B24*Paramètres!B29</f>
        <v>1061.56059629561</v>
      </c>
      <c r="D24" s="41" t="n">
        <f aca="false">B24-C24</f>
        <v>11677.1665592517</v>
      </c>
      <c r="E24" s="41" t="n">
        <f aca="false">(Paramètres!$B$32+Paramètres!$B$33+Paramètres!$B$34)*(1+Paramètres!$B$37)^(20-1)+Paramètres!$B$36*(1+Paramètres!$B$78)^(20-1)+Paramètres!$B$35*(1+Paramètres!$B$79)^(20-1)</f>
        <v>4151.91184170423</v>
      </c>
      <c r="F24" s="41" t="n">
        <f aca="false">'Amortissement crédit'!I23</f>
        <v>235.59762712276</v>
      </c>
      <c r="G24" s="41" t="n">
        <f aca="false">IF(20&lt;=Paramètres!B40,Paramètres!B43,0)+IF(20&lt;=Paramètres!B41,Paramètres!B44,0)+IF(20&lt;=Paramètres!B42,Paramètres!B45,0)</f>
        <v>5666.66666666667</v>
      </c>
      <c r="H24" s="41" t="n">
        <f aca="false">IF(L24&lt;0,0,MAX(L24-M24,0))</f>
        <v>0</v>
      </c>
      <c r="I24" s="41" t="n">
        <f aca="false">H24*(Paramètres!D50+Paramètres!D51)</f>
        <v>0</v>
      </c>
      <c r="J24" s="41" t="n">
        <f aca="false">D24-E24-I24-Paramètres!B24</f>
        <v>-5071.47035704529</v>
      </c>
      <c r="K24" s="41" t="n">
        <f aca="false">J24+IF(20=Paramètres!B12,Paramètres!B18-'Amortissement crédit'!J23-'PV LMNP Réel'!B6,0)</f>
        <v>-5071.47035704529</v>
      </c>
      <c r="L24" s="56" t="n">
        <f aca="false">D24-E24-F24-G24</f>
        <v>1622.99042375804</v>
      </c>
      <c r="M24" s="56" t="n">
        <f aca="false">N23</f>
        <v>61650.058666497</v>
      </c>
      <c r="N24" s="56" t="n">
        <f aca="false">IF(L24&lt;0,M24-L24,MAX(M24-L24,0))</f>
        <v>60027.0682427389</v>
      </c>
    </row>
    <row r="26" customFormat="false" ht="15" hidden="false" customHeight="true" outlineLevel="0" collapsed="false">
      <c r="A26" s="42" t="s">
        <v>102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customFormat="false" ht="15" hidden="false" customHeight="true" outlineLevel="0" collapsed="false">
      <c r="A27" s="43" t="s">
        <v>103</v>
      </c>
      <c r="B27" s="43"/>
      <c r="C27" s="43"/>
      <c r="D27" s="43"/>
      <c r="E27" s="43"/>
      <c r="F27" s="43"/>
      <c r="G27" s="43"/>
      <c r="H27" s="43"/>
      <c r="I27" s="43"/>
      <c r="J27" s="43"/>
      <c r="K27" s="44" t="n">
        <f aca="false">-Paramètres!B10+SUMPRODUCT((J5:J24)*(ROW(J5:J24)-4&lt;=Paramètres!B12*1))</f>
        <v>-131434.30189285</v>
      </c>
    </row>
    <row r="28" customFormat="false" ht="15" hidden="false" customHeight="true" outlineLevel="0" collapsed="false">
      <c r="A28" s="43" t="s">
        <v>104</v>
      </c>
      <c r="B28" s="43"/>
      <c r="C28" s="43"/>
      <c r="D28" s="43"/>
      <c r="E28" s="43"/>
      <c r="F28" s="43"/>
      <c r="G28" s="43"/>
      <c r="H28" s="43"/>
      <c r="I28" s="43"/>
      <c r="J28" s="43"/>
      <c r="K28" s="44" t="n">
        <f aca="false">SUMPRODUCT((I5:I24)*(ROW(I5:I24)-4&lt;=Paramètres!B12*1))</f>
        <v>0</v>
      </c>
    </row>
    <row r="29" customFormat="false" ht="15" hidden="false" customHeight="true" outlineLevel="0" collapsed="false">
      <c r="A29" s="43" t="s">
        <v>105</v>
      </c>
      <c r="B29" s="43"/>
      <c r="C29" s="43"/>
      <c r="D29" s="43"/>
      <c r="E29" s="43"/>
      <c r="F29" s="43"/>
      <c r="G29" s="43"/>
      <c r="H29" s="43"/>
      <c r="I29" s="43"/>
      <c r="J29" s="43"/>
      <c r="K29" s="44" t="n">
        <f aca="false">Paramètres!B18</f>
        <v>256297.573664145</v>
      </c>
    </row>
    <row r="30" customFormat="false" ht="15" hidden="false" customHeight="true" outlineLevel="0" collapsed="false">
      <c r="A30" s="43" t="s">
        <v>106</v>
      </c>
      <c r="B30" s="43"/>
      <c r="C30" s="43"/>
      <c r="D30" s="43"/>
      <c r="E30" s="43"/>
      <c r="F30" s="43"/>
      <c r="G30" s="43"/>
      <c r="H30" s="43"/>
      <c r="I30" s="43"/>
      <c r="J30" s="43"/>
      <c r="K30" s="44" t="n">
        <f aca="false">INDEX('Amortissement crédit'!J4:J23,Paramètres!B12)</f>
        <v>57703.4853591957</v>
      </c>
    </row>
    <row r="31" customFormat="false" ht="15" hidden="false" customHeight="true" outlineLevel="0" collapsed="false">
      <c r="A31" s="43" t="s">
        <v>107</v>
      </c>
      <c r="B31" s="43"/>
      <c r="C31" s="43"/>
      <c r="D31" s="43"/>
      <c r="E31" s="43"/>
      <c r="F31" s="43"/>
      <c r="G31" s="43"/>
      <c r="H31" s="43"/>
      <c r="I31" s="43"/>
      <c r="J31" s="43"/>
      <c r="K31" s="44" t="n">
        <f aca="false">-Paramètres!B10+SUMPRODUCT((J5:J24)*(ROW(J5:J24)-4&lt;=Paramètres!B12*1))+Paramètres!B18-INDEX('Amortissement crédit'!J4:J23,Paramètres!B12)-'PV LMNP Réel'!$B$6</f>
        <v>46230.5332839804</v>
      </c>
    </row>
    <row r="32" customFormat="false" ht="15" hidden="false" customHeight="true" outlineLevel="0" collapsed="false">
      <c r="A32" s="45" t="s">
        <v>108</v>
      </c>
      <c r="B32" s="45"/>
      <c r="C32" s="45"/>
      <c r="D32" s="45"/>
      <c r="E32" s="45"/>
      <c r="F32" s="45"/>
      <c r="G32" s="45"/>
      <c r="H32" s="45"/>
      <c r="I32" s="45"/>
      <c r="J32" s="45"/>
      <c r="K32" s="46" t="n">
        <f aca="false">IFERROR(IRR(INDEX($K$4:$K$24,1):INDEX($K$4:$K$24,Paramètres!$B$12+1)),"N/A")</f>
        <v>0.0306471341718171</v>
      </c>
    </row>
    <row r="33" customFormat="false" ht="1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customFormat="false" ht="15" hidden="false" customHeight="true" outlineLevel="0" collapsed="false">
      <c r="A34" s="45" t="s">
        <v>109</v>
      </c>
      <c r="B34" s="45"/>
      <c r="C34" s="45"/>
      <c r="D34" s="45"/>
      <c r="E34" s="45"/>
      <c r="F34" s="45"/>
      <c r="G34" s="45"/>
      <c r="H34" s="45"/>
      <c r="I34" s="45"/>
      <c r="J34" s="45"/>
      <c r="K34" s="47" t="n">
        <f aca="false">IFERROR((-Paramètres!B10+SUMPRODUCT((J5:J24)*(ROW(J5:J24)-4&lt;=Paramètres!B12*1))+Paramètres!B18-INDEX('Amortissement crédit'!J4:J23,Paramètres!B12)-'PV LMNP Réel'!$B$6+Paramètres!B10)/(Paramètres!B10),"N/A")</f>
        <v>2.15576333209951</v>
      </c>
    </row>
    <row r="35" customFormat="false" ht="15" hidden="false" customHeight="true" outlineLevel="0" collapsed="false">
      <c r="A35" s="45" t="s">
        <v>110</v>
      </c>
      <c r="B35" s="45"/>
      <c r="C35" s="45"/>
      <c r="D35" s="45"/>
      <c r="E35" s="45"/>
      <c r="F35" s="45"/>
      <c r="G35" s="45"/>
      <c r="H35" s="45"/>
      <c r="I35" s="45"/>
      <c r="J35" s="45"/>
      <c r="K35" s="48" t="n">
        <f aca="false">Paramètres!B56</f>
        <v>95862.3277239877</v>
      </c>
    </row>
    <row r="36" customFormat="false" ht="15" hidden="false" customHeight="true" outlineLevel="0" collapsed="false">
      <c r="A36" s="45" t="s">
        <v>111</v>
      </c>
      <c r="B36" s="45"/>
      <c r="C36" s="45"/>
      <c r="D36" s="45"/>
      <c r="E36" s="45"/>
      <c r="F36" s="45"/>
      <c r="G36" s="45"/>
      <c r="H36" s="45"/>
      <c r="I36" s="45"/>
      <c r="J36" s="45"/>
      <c r="K36" s="48" t="n">
        <f aca="false">(-Paramètres!B10+SUMPRODUCT((J5:J24)*(ROW(J5:J24)-4&lt;=Paramètres!B12*1))+Paramètres!B18-INDEX('Amortissement crédit'!J4:J23,Paramètres!B12)+Paramètres!B10)-Paramètres!B56</f>
        <v>11297.4586881123</v>
      </c>
    </row>
    <row r="37" customFormat="false" ht="15" hidden="false" customHeight="true" outlineLevel="0" collapsed="false">
      <c r="A37" s="59" t="s">
        <v>120</v>
      </c>
      <c r="B37" s="59"/>
      <c r="C37" s="59"/>
      <c r="D37" s="59"/>
      <c r="E37" s="59"/>
      <c r="F37" s="59"/>
      <c r="G37" s="59"/>
      <c r="H37" s="59"/>
      <c r="I37" s="59"/>
      <c r="J37" s="59"/>
      <c r="K37" s="60" t="n">
        <f aca="false">'PV LMNP Réel'!B6</f>
        <v>20929.2531281196</v>
      </c>
    </row>
    <row r="38" customFormat="false" ht="15" hidden="false" customHeight="true" outlineLevel="0" collapsed="false">
      <c r="A38" s="49" t="s">
        <v>121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</row>
  </sheetData>
  <mergeCells count="14">
    <mergeCell ref="A1:K1"/>
    <mergeCell ref="A26:K2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K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</cols>
  <sheetData>
    <row r="1" customFormat="false" ht="21.75" hidden="false" customHeight="true" outlineLevel="0" collapsed="false">
      <c r="A1" s="54" t="s">
        <v>122</v>
      </c>
      <c r="B1" s="54"/>
    </row>
    <row r="2" customFormat="false" ht="15" hidden="false" customHeight="true" outlineLevel="0" collapsed="false">
      <c r="A2" s="61" t="s">
        <v>123</v>
      </c>
      <c r="B2" s="60" t="n">
        <f aca="false">Paramètres!B18</f>
        <v>256297.573664145</v>
      </c>
    </row>
    <row r="3" customFormat="false" ht="15" hidden="false" customHeight="true" outlineLevel="0" collapsed="false">
      <c r="A3" s="62" t="s">
        <v>124</v>
      </c>
      <c r="B3" s="63" t="n">
        <f aca="false">MIN(Paramètres!B43*Paramètres!B12,Paramètres!B43*Paramètres!B40)</f>
        <v>85000</v>
      </c>
    </row>
    <row r="4" customFormat="false" ht="15" hidden="false" customHeight="true" outlineLevel="0" collapsed="false">
      <c r="A4" s="62" t="s">
        <v>125</v>
      </c>
      <c r="B4" s="63" t="n">
        <f aca="false">(Paramètres!B5+Paramètres!B68+Paramètres!B69)-B3</f>
        <v>161000</v>
      </c>
    </row>
    <row r="5" customFormat="false" ht="15" hidden="false" customHeight="true" outlineLevel="0" collapsed="false">
      <c r="A5" s="62" t="s">
        <v>126</v>
      </c>
      <c r="B5" s="63" t="n">
        <f aca="false">B2-B4</f>
        <v>95297.5736641454</v>
      </c>
    </row>
    <row r="6" customFormat="false" ht="15" hidden="false" customHeight="true" outlineLevel="0" collapsed="false">
      <c r="A6" s="61" t="s">
        <v>127</v>
      </c>
      <c r="B6" s="60" t="n">
        <f aca="false">MAX(B5,0)*(1-Paramètres!B71)*Paramètres!B59+MAX(B5,0)*(1-Paramètres!B72)*Paramètres!B60</f>
        <v>20929.2531281196</v>
      </c>
    </row>
    <row r="8" customFormat="false" ht="60" hidden="false" customHeight="true" outlineLevel="0" collapsed="false">
      <c r="A8" s="64" t="s">
        <v>128</v>
      </c>
      <c r="B8" s="64"/>
    </row>
  </sheetData>
  <mergeCells count="2">
    <mergeCell ref="A1:B1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6"/>
  </cols>
  <sheetData>
    <row r="1" customFormat="false" ht="21.75" hidden="false" customHeight="true" outlineLevel="0" collapsed="false">
      <c r="A1" s="25" t="s">
        <v>129</v>
      </c>
      <c r="B1" s="25"/>
      <c r="C1" s="25"/>
      <c r="D1" s="25"/>
      <c r="E1" s="25"/>
    </row>
    <row r="3" customFormat="false" ht="15" hidden="false" customHeight="true" outlineLevel="0" collapsed="false">
      <c r="A3" s="20"/>
      <c r="B3" s="65" t="s">
        <v>130</v>
      </c>
      <c r="C3" s="66" t="s">
        <v>42</v>
      </c>
      <c r="D3" s="67" t="s">
        <v>43</v>
      </c>
      <c r="E3" s="68" t="s">
        <v>131</v>
      </c>
      <c r="F3" s="1" t="s">
        <v>132</v>
      </c>
    </row>
    <row r="4" customFormat="false" ht="15" hidden="false" customHeight="true" outlineLevel="0" collapsed="false">
      <c r="A4" s="69" t="s">
        <v>108</v>
      </c>
      <c r="B4" s="46" t="n">
        <f aca="false">'Location nue'!J32</f>
        <v>0.0352350071940738</v>
      </c>
      <c r="C4" s="46" t="n">
        <f aca="false">'LMNP Micro-BIC'!I32</f>
        <v>0.0219567624743036</v>
      </c>
      <c r="D4" s="46" t="n">
        <f aca="false">'LMNP Réel'!K32</f>
        <v>0.0306471341718171</v>
      </c>
      <c r="E4" s="46" t="n">
        <f aca="false">Paramètres!B55</f>
        <v>0.06</v>
      </c>
      <c r="F4" s="70" t="n">
        <f aca="false">'Nue Micro-foncier'!I32</f>
        <v>0.0161219072168552</v>
      </c>
    </row>
    <row r="5" customFormat="false" ht="15" hidden="false" customHeight="true" outlineLevel="0" collapsed="false">
      <c r="A5" s="69"/>
      <c r="B5" s="46"/>
      <c r="C5" s="46"/>
      <c r="D5" s="46"/>
      <c r="E5" s="46"/>
    </row>
    <row r="6" customFormat="false" ht="15" hidden="false" customHeight="true" outlineLevel="0" collapsed="false">
      <c r="A6" s="69" t="s">
        <v>133</v>
      </c>
      <c r="B6" s="47" t="n">
        <f aca="false">'Location nue'!J34</f>
        <v>2.38344558365</v>
      </c>
      <c r="C6" s="47" t="n">
        <f aca="false">'LMNP Micro-BIC'!I34</f>
        <v>1.9035629157054</v>
      </c>
      <c r="D6" s="47" t="n">
        <f aca="false">'LMNP Réel'!K34</f>
        <v>2.15576333209951</v>
      </c>
      <c r="E6" s="47" t="n">
        <f aca="false">(Paramètres!B56)/(Paramètres!B10)</f>
        <v>2.39655819309969</v>
      </c>
      <c r="F6" s="71" t="n">
        <f aca="false">'Nue Micro-foncier'!I34</f>
        <v>1.66926585511109</v>
      </c>
    </row>
    <row r="7" customFormat="false" ht="15" hidden="false" customHeight="true" outlineLevel="0" collapsed="false">
      <c r="A7" s="62" t="s">
        <v>134</v>
      </c>
      <c r="B7" s="44" t="n">
        <f aca="false">'Location nue'!J27</f>
        <v>-140994.71183083</v>
      </c>
      <c r="C7" s="44" t="n">
        <f aca="false">'LMNP Micro-BIC'!I27</f>
        <v>-160190.018548614</v>
      </c>
      <c r="D7" s="44" t="n">
        <f aca="false">'LMNP Réel'!K27</f>
        <v>-131434.30189285</v>
      </c>
      <c r="E7" s="44" t="s">
        <v>135</v>
      </c>
      <c r="F7" s="30" t="n">
        <f aca="false">'Nue Micro-foncier'!I27</f>
        <v>-169561.900972387</v>
      </c>
    </row>
    <row r="8" customFormat="false" ht="15" hidden="false" customHeight="true" outlineLevel="0" collapsed="false">
      <c r="A8" s="62" t="s">
        <v>104</v>
      </c>
      <c r="B8" s="44" t="n">
        <f aca="false">'Location nue'!J28</f>
        <v>19936.4600877042</v>
      </c>
      <c r="C8" s="44" t="n">
        <f aca="false">'LMNP Micro-BIC'!I28</f>
        <v>35673.0834222469</v>
      </c>
      <c r="D8" s="44" t="n">
        <f aca="false">'LMNP Réel'!K28</f>
        <v>0</v>
      </c>
      <c r="E8" s="44" t="s">
        <v>135</v>
      </c>
      <c r="F8" s="30" t="n">
        <f aca="false">'Nue Micro-foncier'!I28</f>
        <v>48503.6492292608</v>
      </c>
    </row>
    <row r="9" customFormat="false" ht="15" hidden="false" customHeight="true" outlineLevel="0" collapsed="false">
      <c r="A9" s="62" t="s">
        <v>136</v>
      </c>
      <c r="B9" s="44" t="n">
        <f aca="false">'Location nue'!J30</f>
        <v>57703.4853591957</v>
      </c>
      <c r="C9" s="44" t="n">
        <f aca="false">'LMNP Micro-BIC'!I30</f>
        <v>57703.4853591957</v>
      </c>
      <c r="D9" s="44" t="n">
        <f aca="false">'LMNP Réel'!K30</f>
        <v>57703.4853591957</v>
      </c>
      <c r="E9" s="44" t="s">
        <v>135</v>
      </c>
      <c r="F9" s="30" t="n">
        <f aca="false">'Nue Micro-foncier'!I30</f>
        <v>57703.4853591957</v>
      </c>
    </row>
    <row r="10" customFormat="false" ht="15" hidden="false" customHeight="true" outlineLevel="0" collapsed="false">
      <c r="A10" s="69" t="s">
        <v>137</v>
      </c>
      <c r="B10" s="48" t="n">
        <f aca="false">'Location nue'!J31</f>
        <v>55337.823346</v>
      </c>
      <c r="C10" s="48" t="n">
        <f aca="false">'LMNP Micro-BIC'!I31</f>
        <v>36142.5166282161</v>
      </c>
      <c r="D10" s="48" t="n">
        <f aca="false">'LMNP Réel'!K31</f>
        <v>46230.5332839804</v>
      </c>
      <c r="E10" s="48" t="n">
        <f aca="false">Paramètres!B56</f>
        <v>95862.3277239877</v>
      </c>
      <c r="F10" s="30" t="n">
        <f aca="false">'Nue Micro-foncier'!I31</f>
        <v>26770.6342044435</v>
      </c>
    </row>
    <row r="11" customFormat="false" ht="15" hidden="false" customHeight="true" outlineLevel="0" collapsed="false">
      <c r="A11" s="62" t="s">
        <v>138</v>
      </c>
      <c r="B11" s="44" t="s">
        <v>135</v>
      </c>
      <c r="C11" s="44" t="s">
        <v>135</v>
      </c>
      <c r="D11" s="44" t="n">
        <f aca="false">'PV LMNP Réel'!B6</f>
        <v>20929.2531281196</v>
      </c>
      <c r="E11" s="44" t="s">
        <v>135</v>
      </c>
    </row>
    <row r="12" customFormat="false" ht="15" hidden="false" customHeight="true" outlineLevel="0" collapsed="false">
      <c r="A12" s="69" t="s">
        <v>139</v>
      </c>
      <c r="B12" s="48" t="n">
        <f aca="false">'Location nue'!J36</f>
        <v>1737.04875013197</v>
      </c>
      <c r="C12" s="48" t="n">
        <f aca="false">'LMNP Micro-BIC'!I36</f>
        <v>0</v>
      </c>
      <c r="D12" s="48" t="n">
        <f aca="false">'LMNP Réel'!K36</f>
        <v>11297.4586881123</v>
      </c>
      <c r="E12" s="48" t="s">
        <v>140</v>
      </c>
    </row>
    <row r="14" customFormat="false" ht="49.5" hidden="false" customHeight="true" outlineLevel="0" collapsed="false">
      <c r="A14" s="72" t="s">
        <v>141</v>
      </c>
      <c r="B14" s="72"/>
      <c r="C14" s="72"/>
      <c r="D14" s="72"/>
      <c r="E14" s="72"/>
    </row>
    <row r="15" customFormat="false" ht="19.5" hidden="false" customHeight="true" outlineLevel="0" collapsed="false">
      <c r="A15" s="72"/>
      <c r="B15" s="72"/>
      <c r="C15" s="72"/>
      <c r="D15" s="72"/>
      <c r="E15" s="72"/>
    </row>
  </sheetData>
  <mergeCells count="2">
    <mergeCell ref="A1:E1"/>
    <mergeCell ref="A14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9" min="8" style="1" width="13"/>
  </cols>
  <sheetData>
    <row r="1" customFormat="false" ht="19.5" hidden="false" customHeight="true" outlineLevel="0" collapsed="false">
      <c r="A1" s="50" t="s">
        <v>142</v>
      </c>
      <c r="B1" s="50"/>
      <c r="C1" s="50"/>
      <c r="D1" s="50"/>
      <c r="E1" s="50"/>
      <c r="F1" s="50"/>
      <c r="G1" s="50"/>
      <c r="H1" s="50"/>
      <c r="I1" s="50"/>
    </row>
    <row r="3" customFormat="false" ht="31.5" hidden="false" customHeight="true" outlineLevel="0" collapsed="false">
      <c r="A3" s="51" t="s">
        <v>76</v>
      </c>
      <c r="B3" s="51" t="s">
        <v>85</v>
      </c>
      <c r="C3" s="51" t="s">
        <v>86</v>
      </c>
      <c r="D3" s="51" t="s">
        <v>87</v>
      </c>
      <c r="E3" s="51" t="s">
        <v>114</v>
      </c>
      <c r="F3" s="51" t="s">
        <v>143</v>
      </c>
      <c r="G3" s="51" t="s">
        <v>90</v>
      </c>
      <c r="H3" s="51" t="s">
        <v>91</v>
      </c>
      <c r="I3" s="51" t="s">
        <v>92</v>
      </c>
    </row>
    <row r="4" customFormat="false" ht="15" hidden="false" customHeight="true" outlineLevel="0" collapsed="false">
      <c r="A4" s="31" t="s">
        <v>101</v>
      </c>
      <c r="I4" s="52" t="n">
        <f aca="false">-Paramètres!B10</f>
        <v>-40000</v>
      </c>
    </row>
    <row r="5" customFormat="false" ht="15" hidden="false" customHeight="true" outlineLevel="0" collapsed="false">
      <c r="A5" s="31" t="n">
        <v>1</v>
      </c>
      <c r="B5" s="53" t="n">
        <f aca="false">Paramètres!B27*12*(1+Paramètres!B28)^(1-1)</f>
        <v>9600</v>
      </c>
      <c r="C5" s="53" t="n">
        <f aca="false">B5*Paramètres!B29</f>
        <v>800</v>
      </c>
      <c r="D5" s="53" t="n">
        <f aca="false">B5-C5</f>
        <v>8800</v>
      </c>
      <c r="E5" s="53" t="n">
        <f aca="false">(Paramètres!$B$32+Paramètres!$B$33+Paramètres!$B$34)*(1+Paramètres!$B$37)^(1-1)</f>
        <v>2250</v>
      </c>
      <c r="F5" s="53" t="n">
        <f aca="false">D5*0.7</f>
        <v>6160</v>
      </c>
      <c r="G5" s="53" t="n">
        <f aca="false">F5*(Paramètres!B50+Paramètres!B51)</f>
        <v>2907.52</v>
      </c>
      <c r="H5" s="53" t="n">
        <f aca="false">D5-E5-G5-Paramètres!B24</f>
        <v>-8954.24507459275</v>
      </c>
      <c r="I5" s="53" t="n">
        <f aca="false">H5+IF(1=Paramètres!B12,Paramètres!B18-'Amortissement crédit'!J4-Paramètres!$B$75,0)</f>
        <v>-8954.24507459275</v>
      </c>
    </row>
    <row r="6" customFormat="false" ht="15" hidden="false" customHeight="true" outlineLevel="0" collapsed="false">
      <c r="A6" s="31" t="n">
        <v>2</v>
      </c>
      <c r="B6" s="53" t="n">
        <f aca="false">Paramètres!B27*12*(1+Paramètres!B28)^(2-1)</f>
        <v>9744</v>
      </c>
      <c r="C6" s="53" t="n">
        <f aca="false">B6*Paramètres!B29</f>
        <v>812</v>
      </c>
      <c r="D6" s="53" t="n">
        <f aca="false">B6-C6</f>
        <v>8932</v>
      </c>
      <c r="E6" s="53" t="n">
        <f aca="false">(Paramètres!$B$32+Paramètres!$B$33+Paramètres!$B$34)*(1+Paramètres!$B$37)^(2-1)</f>
        <v>2295</v>
      </c>
      <c r="F6" s="53" t="n">
        <f aca="false">D6*0.7</f>
        <v>6252.4</v>
      </c>
      <c r="G6" s="53" t="n">
        <f aca="false">F6*(Paramètres!B50+Paramètres!B51)</f>
        <v>2951.1328</v>
      </c>
      <c r="H6" s="53" t="n">
        <f aca="false">D6-E6-G6-Paramètres!B24</f>
        <v>-8910.85787459276</v>
      </c>
      <c r="I6" s="53" t="n">
        <f aca="false">H6+IF(2=Paramètres!B12,Paramètres!B18-'Amortissement crédit'!J5-Paramètres!$B$75,0)</f>
        <v>-8910.85787459276</v>
      </c>
    </row>
    <row r="7" customFormat="false" ht="15" hidden="false" customHeight="true" outlineLevel="0" collapsed="false">
      <c r="A7" s="31" t="n">
        <v>3</v>
      </c>
      <c r="B7" s="53" t="n">
        <f aca="false">Paramètres!B27*12*(1+Paramètres!B28)^(3-1)</f>
        <v>9890.16</v>
      </c>
      <c r="C7" s="53" t="n">
        <f aca="false">B7*Paramètres!B29</f>
        <v>824.18</v>
      </c>
      <c r="D7" s="53" t="n">
        <f aca="false">B7-C7</f>
        <v>9065.98</v>
      </c>
      <c r="E7" s="53" t="n">
        <f aca="false">(Paramètres!$B$32+Paramètres!$B$33+Paramètres!$B$34)*(1+Paramètres!$B$37)^(3-1)</f>
        <v>2340.9</v>
      </c>
      <c r="F7" s="53" t="n">
        <f aca="false">D7*0.7</f>
        <v>6346.186</v>
      </c>
      <c r="G7" s="53" t="n">
        <f aca="false">F7*(Paramètres!B50+Paramètres!B51)</f>
        <v>2995.399792</v>
      </c>
      <c r="H7" s="53" t="n">
        <f aca="false">D7-E7-G7-Paramètres!B24</f>
        <v>-8867.04486659275</v>
      </c>
      <c r="I7" s="53" t="n">
        <f aca="false">H7+IF(3=Paramètres!B12,Paramètres!B18-'Amortissement crédit'!J6-Paramètres!$B$75,0)</f>
        <v>-8867.04486659275</v>
      </c>
    </row>
    <row r="8" customFormat="false" ht="15" hidden="false" customHeight="true" outlineLevel="0" collapsed="false">
      <c r="A8" s="31" t="n">
        <v>4</v>
      </c>
      <c r="B8" s="53" t="n">
        <f aca="false">Paramètres!B27*12*(1+Paramètres!B28)^(4-1)</f>
        <v>10038.5124</v>
      </c>
      <c r="C8" s="53" t="n">
        <f aca="false">B8*Paramètres!B29</f>
        <v>836.542699999999</v>
      </c>
      <c r="D8" s="53" t="n">
        <f aca="false">B8-C8</f>
        <v>9201.9697</v>
      </c>
      <c r="E8" s="53" t="n">
        <f aca="false">(Paramètres!$B$32+Paramètres!$B$33+Paramètres!$B$34)*(1+Paramètres!$B$37)^(4-1)</f>
        <v>2387.718</v>
      </c>
      <c r="F8" s="53" t="n">
        <f aca="false">D8*0.7</f>
        <v>6441.37879</v>
      </c>
      <c r="G8" s="53" t="n">
        <f aca="false">F8*(Paramètres!B50+Paramètres!B51)</f>
        <v>3040.33078888</v>
      </c>
      <c r="H8" s="53" t="n">
        <f aca="false">D8-E8-G8-Paramètres!B24</f>
        <v>-8822.80416347276</v>
      </c>
      <c r="I8" s="53" t="n">
        <f aca="false">H8+IF(4=Paramètres!B12,Paramètres!B18-'Amortissement crédit'!J7-Paramètres!$B$75,0)</f>
        <v>-8822.80416347276</v>
      </c>
    </row>
    <row r="9" customFormat="false" ht="15" hidden="false" customHeight="true" outlineLevel="0" collapsed="false">
      <c r="A9" s="31" t="n">
        <v>5</v>
      </c>
      <c r="B9" s="53" t="n">
        <f aca="false">Paramètres!B27*12*(1+Paramètres!B28)^(5-1)</f>
        <v>10189.090086</v>
      </c>
      <c r="C9" s="53" t="n">
        <f aca="false">B9*Paramètres!B29</f>
        <v>849.090840499999</v>
      </c>
      <c r="D9" s="53" t="n">
        <f aca="false">B9-C9</f>
        <v>9339.9992455</v>
      </c>
      <c r="E9" s="53" t="n">
        <f aca="false">(Paramètres!$B$32+Paramètres!$B$33+Paramètres!$B$34)*(1+Paramètres!$B$37)^(5-1)</f>
        <v>2435.47236</v>
      </c>
      <c r="F9" s="53" t="n">
        <f aca="false">D9*0.7</f>
        <v>6537.99947185</v>
      </c>
      <c r="G9" s="53" t="n">
        <f aca="false">F9*(Paramètres!B50+Paramètres!B51)</f>
        <v>3085.9357507132</v>
      </c>
      <c r="H9" s="53" t="n">
        <f aca="false">D9-E9-G9-Paramètres!B24</f>
        <v>-8778.13393980596</v>
      </c>
      <c r="I9" s="53" t="n">
        <f aca="false">H9+IF(5=Paramètres!B12,Paramètres!B18-'Amortissement crédit'!J8-Paramètres!$B$75,0)</f>
        <v>-8778.13393980596</v>
      </c>
    </row>
    <row r="10" customFormat="false" ht="15" hidden="false" customHeight="true" outlineLevel="0" collapsed="false">
      <c r="A10" s="31" t="n">
        <v>6</v>
      </c>
      <c r="B10" s="53" t="n">
        <f aca="false">Paramètres!B27*12*(1+Paramètres!B28)^(6-1)</f>
        <v>10341.92643729</v>
      </c>
      <c r="C10" s="53" t="n">
        <f aca="false">B10*Paramètres!B29</f>
        <v>861.827203107499</v>
      </c>
      <c r="D10" s="53" t="n">
        <f aca="false">B10-C10</f>
        <v>9480.0992341825</v>
      </c>
      <c r="E10" s="53" t="n">
        <f aca="false">(Paramètres!$B$32+Paramètres!$B$33+Paramètres!$B$34)*(1+Paramètres!$B$37)^(6-1)</f>
        <v>2484.1818072</v>
      </c>
      <c r="F10" s="53" t="n">
        <f aca="false">D10*0.7</f>
        <v>6636.06946392775</v>
      </c>
      <c r="G10" s="53" t="n">
        <f aca="false">F10*(Paramètres!B50+Paramètres!B51)</f>
        <v>3132.2247869739</v>
      </c>
      <c r="H10" s="53" t="n">
        <f aca="false">D10-E10-G10-Paramètres!B24</f>
        <v>-8733.03243458416</v>
      </c>
      <c r="I10" s="53" t="n">
        <f aca="false">H10+IF(6=Paramètres!B12,Paramètres!B18-'Amortissement crédit'!J9-Paramètres!$B$75,0)</f>
        <v>-8733.03243458416</v>
      </c>
    </row>
    <row r="11" customFormat="false" ht="15" hidden="false" customHeight="true" outlineLevel="0" collapsed="false">
      <c r="A11" s="31" t="n">
        <v>7</v>
      </c>
      <c r="B11" s="53" t="n">
        <f aca="false">Paramètres!B27*12*(1+Paramètres!B28)^(7-1)</f>
        <v>10497.0553338493</v>
      </c>
      <c r="C11" s="53" t="n">
        <f aca="false">B11*Paramètres!B29</f>
        <v>874.754611154112</v>
      </c>
      <c r="D11" s="53" t="n">
        <f aca="false">B11-C11</f>
        <v>9622.30072269523</v>
      </c>
      <c r="E11" s="53" t="n">
        <f aca="false">(Paramètres!$B$32+Paramètres!$B$33+Paramètres!$B$34)*(1+Paramètres!$B$37)^(7-1)</f>
        <v>2533.865443344</v>
      </c>
      <c r="F11" s="53" t="n">
        <f aca="false">D11*0.7</f>
        <v>6735.61050588666</v>
      </c>
      <c r="G11" s="53" t="n">
        <f aca="false">F11*(Paramètres!B50+Paramètres!B51)</f>
        <v>3179.2081587785</v>
      </c>
      <c r="H11" s="53" t="n">
        <f aca="false">D11-E11-G11-Paramètres!B24</f>
        <v>-8687.49795402003</v>
      </c>
      <c r="I11" s="53" t="n">
        <f aca="false">H11+IF(7=Paramètres!B12,Paramètres!B18-'Amortissement crédit'!J10-Paramètres!$B$75,0)</f>
        <v>-8687.49795402003</v>
      </c>
    </row>
    <row r="12" customFormat="false" ht="15" hidden="false" customHeight="true" outlineLevel="0" collapsed="false">
      <c r="A12" s="31" t="n">
        <v>8</v>
      </c>
      <c r="B12" s="53" t="n">
        <f aca="false">Paramètres!B27*12*(1+Paramètres!B28)^(8-1)</f>
        <v>10654.5111638571</v>
      </c>
      <c r="C12" s="53" t="n">
        <f aca="false">B12*Paramètres!B29</f>
        <v>887.875930321423</v>
      </c>
      <c r="D12" s="53" t="n">
        <f aca="false">B12-C12</f>
        <v>9766.63523353566</v>
      </c>
      <c r="E12" s="53" t="n">
        <f aca="false">(Paramètres!$B$32+Paramètres!$B$33+Paramètres!$B$34)*(1+Paramètres!$B$37)^(8-1)</f>
        <v>2584.54275221088</v>
      </c>
      <c r="F12" s="53" t="n">
        <f aca="false">D12*0.7</f>
        <v>6836.64466347496</v>
      </c>
      <c r="G12" s="53" t="n">
        <f aca="false">F12*(Paramètres!B50+Paramètres!B51)</f>
        <v>3226.89628116018</v>
      </c>
      <c r="H12" s="53" t="n">
        <f aca="false">D12-E12-G12-Paramètres!B24</f>
        <v>-8641.52887442816</v>
      </c>
      <c r="I12" s="53" t="n">
        <f aca="false">H12+IF(8=Paramètres!B12,Paramètres!B18-'Amortissement crédit'!J11-Paramètres!$B$75,0)</f>
        <v>-8641.52887442816</v>
      </c>
    </row>
    <row r="13" customFormat="false" ht="15" hidden="false" customHeight="true" outlineLevel="0" collapsed="false">
      <c r="A13" s="31" t="n">
        <v>9</v>
      </c>
      <c r="B13" s="53" t="n">
        <f aca="false">Paramètres!B27*12*(1+Paramètres!B28)^(9-1)</f>
        <v>10814.3288313149</v>
      </c>
      <c r="C13" s="53" t="n">
        <f aca="false">B13*Paramètres!B29</f>
        <v>901.194069276245</v>
      </c>
      <c r="D13" s="53" t="n">
        <f aca="false">B13-C13</f>
        <v>9913.1347620387</v>
      </c>
      <c r="E13" s="53" t="n">
        <f aca="false">(Paramètres!$B$32+Paramètres!$B$33+Paramètres!$B$34)*(1+Paramètres!$B$37)^(9-1)</f>
        <v>2636.2336072551</v>
      </c>
      <c r="F13" s="53" t="n">
        <f aca="false">D13*0.7</f>
        <v>6939.19433342709</v>
      </c>
      <c r="G13" s="53" t="n">
        <f aca="false">F13*(Paramètres!B50+Paramètres!B51)</f>
        <v>3275.29972537758</v>
      </c>
      <c r="H13" s="53" t="n">
        <f aca="false">D13-E13-G13-Paramètres!B24</f>
        <v>-8595.12364518674</v>
      </c>
      <c r="I13" s="53" t="n">
        <f aca="false">H13+IF(9=Paramètres!B12,Paramètres!B18-'Amortissement crédit'!J12-Paramètres!$B$75,0)</f>
        <v>-8595.12364518674</v>
      </c>
    </row>
    <row r="14" customFormat="false" ht="15" hidden="false" customHeight="true" outlineLevel="0" collapsed="false">
      <c r="A14" s="31" t="n">
        <v>10</v>
      </c>
      <c r="B14" s="53" t="n">
        <f aca="false">Paramètres!B27*12*(1+Paramètres!B28)^(10-1)</f>
        <v>10976.5437637847</v>
      </c>
      <c r="C14" s="53" t="n">
        <f aca="false">B14*Paramètres!B29</f>
        <v>914.711980315388</v>
      </c>
      <c r="D14" s="53" t="n">
        <f aca="false">B14-C14</f>
        <v>10061.8317834693</v>
      </c>
      <c r="E14" s="53" t="n">
        <f aca="false">(Paramètres!$B$32+Paramètres!$B$33+Paramètres!$B$34)*(1+Paramètres!$B$37)^(10-1)</f>
        <v>2688.9582794002</v>
      </c>
      <c r="F14" s="53" t="n">
        <f aca="false">D14*0.7</f>
        <v>7043.28224842849</v>
      </c>
      <c r="G14" s="53" t="n">
        <f aca="false">F14*(Paramètres!B50+Paramètres!B51)</f>
        <v>3324.42922125825</v>
      </c>
      <c r="H14" s="53" t="n">
        <f aca="false">D14-E14-G14-Paramètres!B24</f>
        <v>-8548.28079178193</v>
      </c>
      <c r="I14" s="53" t="n">
        <f aca="false">H14+IF(10=Paramètres!B12,Paramètres!B18-'Amortissement crédit'!J13-Paramètres!$B$75,0)</f>
        <v>-8548.28079178193</v>
      </c>
    </row>
    <row r="15" customFormat="false" ht="15" hidden="false" customHeight="true" outlineLevel="0" collapsed="false">
      <c r="A15" s="31" t="n">
        <v>11</v>
      </c>
      <c r="B15" s="53" t="n">
        <f aca="false">Paramètres!B27*12*(1+Paramètres!B28)^(11-1)</f>
        <v>11141.1919202414</v>
      </c>
      <c r="C15" s="53" t="n">
        <f aca="false">B15*Paramètres!B29</f>
        <v>928.432660020119</v>
      </c>
      <c r="D15" s="53" t="n">
        <f aca="false">B15-C15</f>
        <v>10212.7592602213</v>
      </c>
      <c r="E15" s="53" t="n">
        <f aca="false">(Paramètres!$B$32+Paramètres!$B$33+Paramètres!$B$34)*(1+Paramètres!$B$37)^(11-1)</f>
        <v>2742.7374449882</v>
      </c>
      <c r="F15" s="53" t="n">
        <f aca="false">D15*0.7</f>
        <v>7148.93148215492</v>
      </c>
      <c r="G15" s="53" t="n">
        <f aca="false">F15*(Paramètres!B50+Paramètres!B51)</f>
        <v>3374.29565957712</v>
      </c>
      <c r="H15" s="53" t="n">
        <f aca="false">D15-E15-G15-Paramètres!B24</f>
        <v>-8500.99891893677</v>
      </c>
      <c r="I15" s="53" t="n">
        <f aca="false">H15+IF(11=Paramètres!B12,Paramètres!B18-'Amortissement crédit'!J14-Paramètres!$B$75,0)</f>
        <v>-8500.99891893677</v>
      </c>
    </row>
    <row r="16" customFormat="false" ht="15" hidden="false" customHeight="true" outlineLevel="0" collapsed="false">
      <c r="A16" s="31" t="n">
        <v>12</v>
      </c>
      <c r="B16" s="53" t="n">
        <f aca="false">Paramètres!B27*12*(1+Paramètres!B28)^(12-1)</f>
        <v>11308.3097990451</v>
      </c>
      <c r="C16" s="53" t="n">
        <f aca="false">B16*Paramètres!B29</f>
        <v>942.359149920421</v>
      </c>
      <c r="D16" s="53" t="n">
        <f aca="false">B16-C16</f>
        <v>10365.9506491246</v>
      </c>
      <c r="E16" s="53" t="n">
        <f aca="false">(Paramètres!$B$32+Paramètres!$B$33+Paramètres!$B$34)*(1+Paramètres!$B$37)^(12-1)</f>
        <v>2797.59219388797</v>
      </c>
      <c r="F16" s="53" t="n">
        <f aca="false">D16*0.7</f>
        <v>7256.16545438724</v>
      </c>
      <c r="G16" s="53" t="n">
        <f aca="false">F16*(Paramètres!B50+Paramètres!B51)</f>
        <v>3424.91009447078</v>
      </c>
      <c r="H16" s="53" t="n">
        <f aca="false">D16-E16-G16-Paramètres!B24</f>
        <v>-8453.27671382687</v>
      </c>
      <c r="I16" s="53" t="n">
        <f aca="false">H16+IF(12=Paramètres!B12,Paramètres!B18-'Amortissement crédit'!J15-Paramètres!$B$75,0)</f>
        <v>-8453.27671382687</v>
      </c>
    </row>
    <row r="17" customFormat="false" ht="15" hidden="false" customHeight="true" outlineLevel="0" collapsed="false">
      <c r="A17" s="31" t="n">
        <v>13</v>
      </c>
      <c r="B17" s="53" t="n">
        <f aca="false">Paramètres!B27*12*(1+Paramètres!B28)^(13-1)</f>
        <v>11477.9344460307</v>
      </c>
      <c r="C17" s="53" t="n">
        <f aca="false">B17*Paramètres!B29</f>
        <v>956.494537169227</v>
      </c>
      <c r="D17" s="53" t="n">
        <f aca="false">B17-C17</f>
        <v>10521.4399088615</v>
      </c>
      <c r="E17" s="53" t="n">
        <f aca="false">(Paramètres!$B$32+Paramètres!$B$33+Paramètres!$B$34)*(1+Paramètres!$B$37)^(13-1)</f>
        <v>2853.54403776573</v>
      </c>
      <c r="F17" s="53" t="n">
        <f aca="false">D17*0.7</f>
        <v>7365.00793620305</v>
      </c>
      <c r="G17" s="53" t="n">
        <f aca="false">F17*(Paramètres!B50+Paramètres!B51)</f>
        <v>3476.28374588784</v>
      </c>
      <c r="H17" s="53" t="n">
        <f aca="false">D17-E17-G17-Paramètres!B24</f>
        <v>-8405.11294938482</v>
      </c>
      <c r="I17" s="53" t="n">
        <f aca="false">H17+IF(13=Paramètres!B12,Paramètres!B18-'Amortissement crédit'!J16-Paramètres!$B$75,0)</f>
        <v>-8405.11294938482</v>
      </c>
    </row>
    <row r="18" customFormat="false" ht="15" hidden="false" customHeight="true" outlineLevel="0" collapsed="false">
      <c r="A18" s="31" t="n">
        <v>14</v>
      </c>
      <c r="B18" s="53" t="n">
        <f aca="false">Paramètres!B27*12*(1+Paramètres!B28)^(14-1)</f>
        <v>11650.1034627212</v>
      </c>
      <c r="C18" s="53" t="n">
        <f aca="false">B18*Paramètres!B29</f>
        <v>970.841955226765</v>
      </c>
      <c r="D18" s="53" t="n">
        <f aca="false">B18-C18</f>
        <v>10679.2615074944</v>
      </c>
      <c r="E18" s="53" t="n">
        <f aca="false">(Paramètres!$B$32+Paramètres!$B$33+Paramètres!$B$34)*(1+Paramètres!$B$37)^(14-1)</f>
        <v>2910.61491852104</v>
      </c>
      <c r="F18" s="53" t="n">
        <f aca="false">D18*0.7</f>
        <v>7475.48305524609</v>
      </c>
      <c r="G18" s="53" t="n">
        <f aca="false">F18*(Paramètres!B50+Paramètres!B51)</f>
        <v>3528.42800207616</v>
      </c>
      <c r="H18" s="53" t="n">
        <f aca="false">D18-E18-G18-Paramètres!B24</f>
        <v>-8356.50648769553</v>
      </c>
      <c r="I18" s="53" t="n">
        <f aca="false">H18+IF(14=Paramètres!B12,Paramètres!B18-'Amortissement crédit'!J17-Paramètres!$B$75,0)</f>
        <v>-8356.50648769553</v>
      </c>
    </row>
    <row r="19" customFormat="false" ht="15" hidden="false" customHeight="true" outlineLevel="0" collapsed="false">
      <c r="A19" s="31" t="n">
        <v>15</v>
      </c>
      <c r="B19" s="53" t="n">
        <f aca="false">Paramètres!B27*12*(1+Paramètres!B28)^(15-1)</f>
        <v>11824.855014662</v>
      </c>
      <c r="C19" s="53" t="n">
        <f aca="false">B19*Paramètres!B29</f>
        <v>985.404584555166</v>
      </c>
      <c r="D19" s="53" t="n">
        <f aca="false">B19-C19</f>
        <v>10839.4504301068</v>
      </c>
      <c r="E19" s="53" t="n">
        <f aca="false">(Paramètres!$B$32+Paramètres!$B$33+Paramètres!$B$34)*(1+Paramètres!$B$37)^(15-1)</f>
        <v>2968.82721689146</v>
      </c>
      <c r="F19" s="53" t="n">
        <f aca="false">D19*0.7</f>
        <v>7587.61530107478</v>
      </c>
      <c r="G19" s="53" t="n">
        <f aca="false">F19*(Paramètres!B50+Paramètres!B51)</f>
        <v>3581.3544221073</v>
      </c>
      <c r="H19" s="53" t="n">
        <f aca="false">D19-E19-G19-Paramètres!B24</f>
        <v>-8307.45628348468</v>
      </c>
      <c r="I19" s="53" t="n">
        <f aca="false">H19+IF(15=Paramètres!B12,Paramètres!B18-'Amortissement crédit'!J18-Paramètres!$B$75,0)</f>
        <v>188025.078893345</v>
      </c>
    </row>
    <row r="20" customFormat="false" ht="15" hidden="false" customHeight="true" outlineLevel="0" collapsed="false">
      <c r="A20" s="31" t="n">
        <v>16</v>
      </c>
      <c r="B20" s="41" t="n">
        <f aca="false">Paramètres!B27*12*(1+Paramètres!B28)^(16-1)</f>
        <v>12002.2278398819</v>
      </c>
      <c r="C20" s="41" t="n">
        <f aca="false">B20*Paramètres!B29</f>
        <v>1000.18565332349</v>
      </c>
      <c r="D20" s="41" t="n">
        <f aca="false">B20-C20</f>
        <v>11002.0421865584</v>
      </c>
      <c r="E20" s="41" t="n">
        <f aca="false">(Paramètres!$B$32+Paramètres!$B$33+Paramètres!$B$34)*(1+Paramètres!$B$37)^(16-1)</f>
        <v>3028.20376122929</v>
      </c>
      <c r="F20" s="41" t="n">
        <f aca="false">D20*0.7</f>
        <v>7701.42953059091</v>
      </c>
      <c r="G20" s="41" t="n">
        <f aca="false">F20*(Paramètres!B50+Paramètres!B51)</f>
        <v>3635.07473843891</v>
      </c>
      <c r="H20" s="41" t="n">
        <f aca="false">D20-E20-G20-Paramètres!B24</f>
        <v>-8257.96138770252</v>
      </c>
      <c r="I20" s="41" t="n">
        <f aca="false">H20+IF(16=Paramètres!B12,Paramètres!B18-'Amortissement crédit'!J19-Paramètres!$B$75,0)</f>
        <v>-8257.96138770252</v>
      </c>
    </row>
    <row r="21" customFormat="false" ht="15" hidden="false" customHeight="true" outlineLevel="0" collapsed="false">
      <c r="A21" s="31" t="n">
        <v>17</v>
      </c>
      <c r="B21" s="41" t="n">
        <f aca="false">Paramètres!B27*12*(1+Paramètres!B28)^(17-1)</f>
        <v>12182.2612574802</v>
      </c>
      <c r="C21" s="41" t="n">
        <f aca="false">B21*Paramètres!B29</f>
        <v>1015.18843812335</v>
      </c>
      <c r="D21" s="41" t="n">
        <f aca="false">B21-C21</f>
        <v>11167.0728193568</v>
      </c>
      <c r="E21" s="41" t="n">
        <f aca="false">(Paramètres!$B$32+Paramètres!$B$33+Paramètres!$B$34)*(1+Paramètres!$B$37)^(17-1)</f>
        <v>3088.76783645388</v>
      </c>
      <c r="F21" s="41" t="n">
        <f aca="false">D21*0.7</f>
        <v>7816.95097354977</v>
      </c>
      <c r="G21" s="41" t="n">
        <f aca="false">F21*(Paramètres!B50+Paramètres!B51)</f>
        <v>3689.60085951549</v>
      </c>
      <c r="H21" s="41" t="n">
        <f aca="false">D21-E21-G21-Paramètres!B24</f>
        <v>-8208.02095120531</v>
      </c>
      <c r="I21" s="41" t="n">
        <f aca="false">H21+IF(17=Paramètres!B12,Paramètres!B18-'Amortissement crédit'!J20-Paramètres!$B$75,0)</f>
        <v>-8208.02095120531</v>
      </c>
    </row>
    <row r="22" customFormat="false" ht="15" hidden="false" customHeight="true" outlineLevel="0" collapsed="false">
      <c r="A22" s="31" t="n">
        <v>18</v>
      </c>
      <c r="B22" s="41" t="n">
        <f aca="false">Paramètres!B27*12*(1+Paramètres!B28)^(18-1)</f>
        <v>12364.9951763424</v>
      </c>
      <c r="C22" s="41" t="n">
        <f aca="false">B22*Paramètres!B29</f>
        <v>1030.4162646952</v>
      </c>
      <c r="D22" s="41" t="n">
        <f aca="false">B22-C22</f>
        <v>11334.5789116472</v>
      </c>
      <c r="E22" s="41" t="n">
        <f aca="false">(Paramètres!$B$32+Paramètres!$B$33+Paramètres!$B$34)*(1+Paramètres!$B$37)^(18-1)</f>
        <v>3150.54319318296</v>
      </c>
      <c r="F22" s="41" t="n">
        <f aca="false">D22*0.7</f>
        <v>7934.20523815302</v>
      </c>
      <c r="G22" s="41" t="n">
        <f aca="false">F22*(Paramètres!B50+Paramètres!B51)</f>
        <v>3744.94487240822</v>
      </c>
      <c r="H22" s="41" t="n">
        <f aca="false">D22-E22-G22-Paramètres!B24</f>
        <v>-8157.63422853677</v>
      </c>
      <c r="I22" s="41" t="n">
        <f aca="false">H22+IF(18=Paramètres!B12,Paramètres!B18-'Amortissement crédit'!J21-Paramètres!$B$75,0)</f>
        <v>-8157.63422853677</v>
      </c>
    </row>
    <row r="23" customFormat="false" ht="15" hidden="false" customHeight="true" outlineLevel="0" collapsed="false">
      <c r="A23" s="31" t="n">
        <v>19</v>
      </c>
      <c r="B23" s="41" t="n">
        <f aca="false">Paramètres!B27*12*(1+Paramètres!B28)^(19-1)</f>
        <v>12550.4701039875</v>
      </c>
      <c r="C23" s="41" t="n">
        <f aca="false">B23*Paramètres!B29</f>
        <v>1045.87250866562</v>
      </c>
      <c r="D23" s="41" t="n">
        <f aca="false">B23-C23</f>
        <v>11504.5975953219</v>
      </c>
      <c r="E23" s="41" t="n">
        <f aca="false">(Paramètres!$B$32+Paramètres!$B$33+Paramètres!$B$34)*(1+Paramètres!$B$37)^(19-1)</f>
        <v>3213.55405704662</v>
      </c>
      <c r="F23" s="41" t="n">
        <f aca="false">D23*0.7</f>
        <v>8053.21831672531</v>
      </c>
      <c r="G23" s="41" t="n">
        <f aca="false">F23*(Paramètres!B50+Paramètres!B51)</f>
        <v>3801.11904549435</v>
      </c>
      <c r="H23" s="41" t="n">
        <f aca="false">D23-E23-G23-Paramètres!B24</f>
        <v>-8106.80058181184</v>
      </c>
      <c r="I23" s="41" t="n">
        <f aca="false">H23+IF(19=Paramètres!B12,Paramètres!B18-'Amortissement crédit'!J22-Paramètres!$B$75,0)</f>
        <v>-8106.80058181184</v>
      </c>
    </row>
    <row r="24" customFormat="false" ht="15" hidden="false" customHeight="true" outlineLevel="0" collapsed="false">
      <c r="A24" s="31" t="n">
        <v>20</v>
      </c>
      <c r="B24" s="41" t="n">
        <f aca="false">Paramètres!B27*12*(1+Paramètres!B28)^(20-1)</f>
        <v>12738.7271555473</v>
      </c>
      <c r="C24" s="41" t="n">
        <f aca="false">B24*Paramètres!B29</f>
        <v>1061.56059629561</v>
      </c>
      <c r="D24" s="41" t="n">
        <f aca="false">B24-C24</f>
        <v>11677.1665592517</v>
      </c>
      <c r="E24" s="41" t="n">
        <f aca="false">(Paramètres!$B$32+Paramètres!$B$33+Paramètres!$B$34)*(1+Paramètres!$B$37)^(20-1)</f>
        <v>3277.82513818755</v>
      </c>
      <c r="F24" s="41" t="n">
        <f aca="false">D24*0.7</f>
        <v>8174.01659147619</v>
      </c>
      <c r="G24" s="41" t="n">
        <f aca="false">F24*(Paramètres!B50+Paramètres!B51)</f>
        <v>3858.13583117676</v>
      </c>
      <c r="H24" s="41" t="n">
        <f aca="false">D24-E24-G24-Paramètres!B24</f>
        <v>-8055.51948470537</v>
      </c>
      <c r="I24" s="41" t="n">
        <f aca="false">H24+IF(20=Paramètres!B12,Paramètres!B18-'Amortissement crédit'!J23-Paramètres!$B$75,0)</f>
        <v>-8055.51948470537</v>
      </c>
    </row>
    <row r="26" customFormat="false" ht="15" hidden="false" customHeight="true" outlineLevel="0" collapsed="false">
      <c r="A26" s="42" t="s">
        <v>102</v>
      </c>
      <c r="B26" s="42"/>
      <c r="C26" s="42"/>
      <c r="D26" s="42"/>
      <c r="E26" s="42"/>
      <c r="F26" s="42"/>
      <c r="G26" s="42"/>
      <c r="H26" s="42"/>
      <c r="I26" s="42"/>
    </row>
    <row r="27" customFormat="false" ht="15" hidden="false" customHeight="true" outlineLevel="0" collapsed="false">
      <c r="A27" s="43" t="s">
        <v>103</v>
      </c>
      <c r="B27" s="43"/>
      <c r="C27" s="43"/>
      <c r="D27" s="43"/>
      <c r="E27" s="43"/>
      <c r="F27" s="43"/>
      <c r="G27" s="43"/>
      <c r="H27" s="43"/>
      <c r="I27" s="44" t="n">
        <f aca="false">-Paramètres!B10+SUMPRODUCT((H5:H24)*(ROW(H5:H24)-4&lt;=Paramètres!B12*1))</f>
        <v>-169561.900972387</v>
      </c>
    </row>
    <row r="28" customFormat="false" ht="15" hidden="false" customHeight="true" outlineLevel="0" collapsed="false">
      <c r="A28" s="43" t="s">
        <v>104</v>
      </c>
      <c r="B28" s="43"/>
      <c r="C28" s="43"/>
      <c r="D28" s="43"/>
      <c r="E28" s="43"/>
      <c r="F28" s="43"/>
      <c r="G28" s="43"/>
      <c r="H28" s="43"/>
      <c r="I28" s="44" t="n">
        <f aca="false">SUMPRODUCT((G5:G24)*(ROW(G5:G24)-4&lt;=Paramètres!B12*1))</f>
        <v>48503.6492292608</v>
      </c>
    </row>
    <row r="29" customFormat="false" ht="15" hidden="false" customHeight="true" outlineLevel="0" collapsed="false">
      <c r="A29" s="43" t="s">
        <v>105</v>
      </c>
      <c r="B29" s="43"/>
      <c r="C29" s="43"/>
      <c r="D29" s="43"/>
      <c r="E29" s="43"/>
      <c r="F29" s="43"/>
      <c r="G29" s="43"/>
      <c r="H29" s="43"/>
      <c r="I29" s="44" t="n">
        <f aca="false">Paramètres!B18</f>
        <v>256297.573664145</v>
      </c>
    </row>
    <row r="30" customFormat="false" ht="15" hidden="false" customHeight="true" outlineLevel="0" collapsed="false">
      <c r="A30" s="43" t="s">
        <v>106</v>
      </c>
      <c r="B30" s="43"/>
      <c r="C30" s="43"/>
      <c r="D30" s="43"/>
      <c r="E30" s="43"/>
      <c r="F30" s="43"/>
      <c r="G30" s="43"/>
      <c r="H30" s="43"/>
      <c r="I30" s="44" t="n">
        <f aca="false">INDEX('Amortissement crédit'!J4:J23,Paramètres!B12)</f>
        <v>57703.4853591957</v>
      </c>
    </row>
    <row r="31" customFormat="false" ht="15" hidden="false" customHeight="true" outlineLevel="0" collapsed="false">
      <c r="A31" s="43" t="s">
        <v>107</v>
      </c>
      <c r="B31" s="43"/>
      <c r="C31" s="43"/>
      <c r="D31" s="43"/>
      <c r="E31" s="43"/>
      <c r="F31" s="43"/>
      <c r="G31" s="43"/>
      <c r="H31" s="43"/>
      <c r="I31" s="44" t="n">
        <f aca="false">-Paramètres!B10+SUMPRODUCT((H5:H24)*(ROW(H5:H24)-4&lt;=Paramètres!B12*1))+Paramètres!B18-INDEX('Amortissement crédit'!J4:J23,Paramètres!B12)-Paramètres!$B$75</f>
        <v>26770.6342044435</v>
      </c>
    </row>
    <row r="32" customFormat="false" ht="15" hidden="false" customHeight="true" outlineLevel="0" collapsed="false">
      <c r="A32" s="45" t="s">
        <v>108</v>
      </c>
      <c r="B32" s="45"/>
      <c r="C32" s="45"/>
      <c r="D32" s="45"/>
      <c r="E32" s="45"/>
      <c r="F32" s="45"/>
      <c r="G32" s="45"/>
      <c r="H32" s="45"/>
      <c r="I32" s="46" t="n">
        <f aca="false">IFERROR(IRR(INDEX($I$4:$I$24,1):INDEX($I$4:$I$24,Paramètres!$B$12+1)),"N/A")</f>
        <v>0.0161219072168552</v>
      </c>
    </row>
    <row r="33" customFormat="false" ht="1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6"/>
    </row>
    <row r="34" customFormat="false" ht="15" hidden="false" customHeight="true" outlineLevel="0" collapsed="false">
      <c r="A34" s="45" t="s">
        <v>109</v>
      </c>
      <c r="B34" s="45"/>
      <c r="C34" s="45"/>
      <c r="D34" s="45"/>
      <c r="E34" s="45"/>
      <c r="F34" s="45"/>
      <c r="G34" s="45"/>
      <c r="H34" s="45"/>
      <c r="I34" s="47" t="n">
        <f aca="false">IFERROR((-Paramètres!B10+SUMPRODUCT((H5:H24)*(ROW(H5:H24)-4&lt;=Paramètres!B12*1))+Paramètres!B18-INDEX('Amortissement crédit'!J4:J23,Paramètres!B12)-Paramètres!$B$75+Paramètres!B10)/(Paramètres!B10),"N/A")</f>
        <v>1.66926585511109</v>
      </c>
    </row>
    <row r="35" customFormat="false" ht="15" hidden="false" customHeight="true" outlineLevel="0" collapsed="false">
      <c r="A35" s="45" t="s">
        <v>110</v>
      </c>
      <c r="B35" s="45"/>
      <c r="C35" s="45"/>
      <c r="D35" s="45"/>
      <c r="E35" s="45"/>
      <c r="F35" s="45"/>
      <c r="G35" s="45"/>
      <c r="H35" s="45"/>
      <c r="I35" s="48" t="n">
        <f aca="false">Paramètres!B56</f>
        <v>95862.3277239877</v>
      </c>
    </row>
    <row r="36" customFormat="false" ht="15" hidden="false" customHeight="true" outlineLevel="0" collapsed="false">
      <c r="A36" s="49" t="s">
        <v>116</v>
      </c>
      <c r="B36" s="49"/>
      <c r="C36" s="49"/>
      <c r="D36" s="49"/>
      <c r="E36" s="49"/>
      <c r="F36" s="49"/>
      <c r="G36" s="49"/>
      <c r="H36" s="49"/>
      <c r="I36" s="49"/>
    </row>
  </sheetData>
  <mergeCells count="12">
    <mergeCell ref="A1:I1"/>
    <mergeCell ref="A26:I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2026-07-11T20:59:45Z</dcterms:created>
  <dc:creator>openpyxl</dc:creator>
  <dc:description/>
  <dc:language>en-US</dc:language>
  <cp:lastModifiedBy>ahmed filali</cp:lastModifiedBy>
  <dcterms:modified xsi:type="dcterms:W3CDTF">2026-07-16T09:57:38Z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